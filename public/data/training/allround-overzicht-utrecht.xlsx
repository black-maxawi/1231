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zicht" sheetId="1" state="visible" r:id="rId3"/>
    <sheet name="⭐ Allround Medewerkers" sheetId="2" state="visible" r:id="rId4"/>
    <sheet name="🎯 Nog Te Trainen" sheetId="3" state="visible" r:id="rId5"/>
    <sheet name="📊 Dashboard" sheetId="4" state="visible" r:id="rId6"/>
    <sheet name="➕ Medewerker Toevoegen" sheetId="5" state="visible" r:id="rId7"/>
  </sheets>
  <definedNames>
    <definedName function="false" hidden="true" localSheetId="1" name="_xlnm._FilterDatabase" vbProcedure="false">'⭐ Allround Medewerkers'!$A$2:$O$2</definedName>
    <definedName function="false" hidden="true" localSheetId="2" name="_xlnm._FilterDatabase" vbProcedure="false">'🎯 Nog Te Trainen'!$A$2:$P$2</definedName>
    <definedName function="false" hidden="true" localSheetId="0" name="_xlnm._FilterDatabase" vbProcedure="false">'📋 Overzicht'!$A$3:$P$3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<sst xmlns="http://schemas.openxmlformats.org/spreadsheetml/2006/main" count="1010" uniqueCount="119">
  <si>
    <t xml:space="preserve">🍟  ALLROUND OVERZICHT — Utrecht Lange Vie  |  19-06-2026</t>
  </si>
  <si>
    <t xml:space="preserve">👥  Totaal medewerkers: 53</t>
  </si>
  <si>
    <t xml:space="preserve">⭐  Allround: 12</t>
  </si>
  <si>
    <t xml:space="preserve">🎯  Nog te trainen: 41</t>
  </si>
  <si>
    <t xml:space="preserve">📊  23% allround</t>
  </si>
  <si>
    <t xml:space="preserve">Naam</t>
  </si>
  <si>
    <t xml:space="preserve">Allround</t>
  </si>
  <si>
    <t xml:space="preserve"># Stations</t>
  </si>
  <si>
    <t xml:space="preserve">Gem. Score</t>
  </si>
  <si>
    <t xml:space="preserve">Assembler</t>
  </si>
  <si>
    <t xml:space="preserve">Batch Cooker Friteuse</t>
  </si>
  <si>
    <t xml:space="preserve">Batch Cooker Grill</t>
  </si>
  <si>
    <t xml:space="preserve">Dranken Tapper</t>
  </si>
  <si>
    <t xml:space="preserve">Expeditor</t>
  </si>
  <si>
    <t xml:space="preserve">Friet</t>
  </si>
  <si>
    <t xml:space="preserve">Initiator</t>
  </si>
  <si>
    <t xml:space="preserve">Lobby</t>
  </si>
  <si>
    <t xml:space="preserve">McCafé</t>
  </si>
  <si>
    <t xml:space="preserve">McDelivery</t>
  </si>
  <si>
    <t xml:space="preserve">Order Taker Counter</t>
  </si>
  <si>
    <t xml:space="preserve">Runner-Presenter</t>
  </si>
  <si>
    <t xml:space="preserve">Abdolrahman Aljabouli</t>
  </si>
  <si>
    <t xml:space="preserve">⏳ Nog 9</t>
  </si>
  <si>
    <t xml:space="preserve">—</t>
  </si>
  <si>
    <t xml:space="preserve">Abel Yohannes</t>
  </si>
  <si>
    <t xml:space="preserve">⏳ Nog 8</t>
  </si>
  <si>
    <t xml:space="preserve">Alwin Kolb</t>
  </si>
  <si>
    <t xml:space="preserve">⏳ Nog 10</t>
  </si>
  <si>
    <t xml:space="preserve">Amine Nocair</t>
  </si>
  <si>
    <t xml:space="preserve">✅ Allround</t>
  </si>
  <si>
    <t xml:space="preserve">Amine Qasim Adem</t>
  </si>
  <si>
    <t xml:space="preserve">⏳ Nog 5</t>
  </si>
  <si>
    <t xml:space="preserve">Arif Nazir</t>
  </si>
  <si>
    <t xml:space="preserve">Bibi Tekie</t>
  </si>
  <si>
    <t xml:space="preserve">⏳ Nog 7</t>
  </si>
  <si>
    <t xml:space="preserve">Conchita Brunst</t>
  </si>
  <si>
    <t xml:space="preserve">Cristina Popa</t>
  </si>
  <si>
    <t xml:space="preserve">Cynthia Osemwegie</t>
  </si>
  <si>
    <t xml:space="preserve">Daan Van der Bijl</t>
  </si>
  <si>
    <t xml:space="preserve">Efrem Teklezgi</t>
  </si>
  <si>
    <t xml:space="preserve">Esperance Ingabine</t>
  </si>
  <si>
    <t xml:space="preserve">Fahimo Ali Omar</t>
  </si>
  <si>
    <t xml:space="preserve">⏳ Nog 6</t>
  </si>
  <si>
    <t xml:space="preserve">Fatma Adow Kadie</t>
  </si>
  <si>
    <t xml:space="preserve">Feysal Abdirahman Hassan</t>
  </si>
  <si>
    <t xml:space="preserve">Filmon Simon</t>
  </si>
  <si>
    <t xml:space="preserve">Fitsum Semere Tewelde</t>
  </si>
  <si>
    <t xml:space="preserve">Gelila Mehretab</t>
  </si>
  <si>
    <t xml:space="preserve">Hamdi Rooble</t>
  </si>
  <si>
    <t xml:space="preserve">Hassan Hosrom</t>
  </si>
  <si>
    <t xml:space="preserve">Hermela Mehretab</t>
  </si>
  <si>
    <t xml:space="preserve">⏳ Nog 3</t>
  </si>
  <si>
    <t xml:space="preserve">Honnette Gasoro</t>
  </si>
  <si>
    <t xml:space="preserve">Huruy Teklezghi Baramichel</t>
  </si>
  <si>
    <t xml:space="preserve">Husni Mohamed</t>
  </si>
  <si>
    <t xml:space="preserve">⏳ Nog 4</t>
  </si>
  <si>
    <t xml:space="preserve">Isabelle Nieuwenhuis</t>
  </si>
  <si>
    <t xml:space="preserve">Kokob Berhe</t>
  </si>
  <si>
    <t xml:space="preserve">Kutaiba Alissa Almohammad</t>
  </si>
  <si>
    <t xml:space="preserve">Leila Osso</t>
  </si>
  <si>
    <t xml:space="preserve">Lisa Voloshin</t>
  </si>
  <si>
    <t xml:space="preserve">Maaido Ahmed Ibrahim</t>
  </si>
  <si>
    <t xml:space="preserve">Madeleine Nieuwenhuis</t>
  </si>
  <si>
    <t xml:space="preserve">⏳ Nog 1</t>
  </si>
  <si>
    <t xml:space="preserve">Maria Krivitskaia</t>
  </si>
  <si>
    <t xml:space="preserve">Merhawi Habtemariam</t>
  </si>
  <si>
    <t xml:space="preserve">Merhawi Kidane</t>
  </si>
  <si>
    <t xml:space="preserve">Mohammad Fathi Ali</t>
  </si>
  <si>
    <t xml:space="preserve">Mohammed Balilou</t>
  </si>
  <si>
    <t xml:space="preserve">Mostafa Sulaiman</t>
  </si>
  <si>
    <t xml:space="preserve">Moèz Albonaser</t>
  </si>
  <si>
    <t xml:space="preserve">Nasir Gill</t>
  </si>
  <si>
    <t xml:space="preserve">Neliza Oru</t>
  </si>
  <si>
    <t xml:space="preserve">Nora Pham</t>
  </si>
  <si>
    <t xml:space="preserve">Pavlo Prytula</t>
  </si>
  <si>
    <t xml:space="preserve">Piolette Muroruhirwe</t>
  </si>
  <si>
    <t xml:space="preserve">Precious Trazo</t>
  </si>
  <si>
    <t xml:space="preserve">Seid Mohammed Ferej</t>
  </si>
  <si>
    <t xml:space="preserve">Silia Stavropoulou</t>
  </si>
  <si>
    <t xml:space="preserve">Taim Hesso</t>
  </si>
  <si>
    <t xml:space="preserve">Tekali Tesfu Gebreamlak</t>
  </si>
  <si>
    <t xml:space="preserve">Vadym Hrebennikov</t>
  </si>
  <si>
    <t xml:space="preserve">Wai Shun chong</t>
  </si>
  <si>
    <t xml:space="preserve">Zahoor Almad</t>
  </si>
  <si>
    <t xml:space="preserve">⏳ Nog 2</t>
  </si>
  <si>
    <t xml:space="preserve">Zakaria Abdirizakh Salad</t>
  </si>
  <si>
    <t xml:space="preserve">⭐  ALLROUND MEDEWERKERS — Volledig getraind (≥10 stations)</t>
  </si>
  <si>
    <t xml:space="preserve">⭐ Amine Nocair</t>
  </si>
  <si>
    <t xml:space="preserve">⭐ Hassan Hosrom</t>
  </si>
  <si>
    <t xml:space="preserve">⭐ Wai Shun chong</t>
  </si>
  <si>
    <t xml:space="preserve">⭐ Tekali Tesfu Gebreamlak</t>
  </si>
  <si>
    <t xml:space="preserve">⭐ Silia Stavropoulou</t>
  </si>
  <si>
    <t xml:space="preserve">⭐ Arif Nazir</t>
  </si>
  <si>
    <t xml:space="preserve">⭐ Isabelle Nieuwenhuis</t>
  </si>
  <si>
    <t xml:space="preserve">⭐ Leila Osso</t>
  </si>
  <si>
    <t xml:space="preserve">⭐ Merhawi Habtemariam</t>
  </si>
  <si>
    <t xml:space="preserve">⭐ Kutaiba Alissa Almohammad</t>
  </si>
  <si>
    <t xml:space="preserve">⭐ Pavlo Prytula</t>
  </si>
  <si>
    <t xml:space="preserve">⭐ Taim Hesso</t>
  </si>
  <si>
    <t xml:space="preserve">🎯  NOG TE TRAINEN — Medewerkers die nog niet allround zijn</t>
  </si>
  <si>
    <t xml:space="preserve">Nog Nodig</t>
  </si>
  <si>
    <t xml:space="preserve">❌</t>
  </si>
  <si>
    <t xml:space="preserve">📊  DASHBOARD — Allround Statistieken Utrecht Lange Vie</t>
  </si>
  <si>
    <t xml:space="preserve">👥 TOTAAL
MEDEWERKERS
53</t>
  </si>
  <si>
    <t xml:space="preserve">⭐ ALLROUND
12</t>
  </si>
  <si>
    <t xml:space="preserve">🎯 NOG TE TRAINEN
41</t>
  </si>
  <si>
    <t xml:space="preserve">Station</t>
  </si>
  <si>
    <t xml:space="preserve">Gevuld (%)</t>
  </si>
  <si>
    <t xml:space="preserve">Status</t>
  </si>
  <si>
    <t xml:space="preserve">Aantal</t>
  </si>
  <si>
    <t xml:space="preserve">Nog te trainen</t>
  </si>
  <si>
    <t xml:space="preserve">➕  NIEUW — Voeg een medewerker toe of bewerk scores</t>
  </si>
  <si>
    <t xml:space="preserve">📝 HOW TO USE:</t>
  </si>
  <si>
    <t xml:space="preserve">1. Vul de naam in kolom A in</t>
  </si>
  <si>
    <t xml:space="preserve">2. Vul scores in als % (bijv. 95 voor 95%)</t>
  </si>
  <si>
    <t xml:space="preserve">3. Laat leeg als station niet gevolgd is</t>
  </si>
  <si>
    <t xml:space="preserve">4. Kopieer de rij naar het 📋 Overzicht tabblad</t>
  </si>
  <si>
    <t xml:space="preserve">🎯 ALLROUND = ≥ 10 van 12 stations gevuld</t>
  </si>
  <si>
    <t xml:space="preserve">Allround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</si>
</sst>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2725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C72C"/>
      <name val="Arial"/>
      <family val="0"/>
      <charset val="1"/>
    </font>
    <font>
      <sz val="10"/>
      <color rgb="FF27251F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rgb="FF276221"/>
      <name val="Arial"/>
      <family val="0"/>
      <charset val="1"/>
    </font>
    <font>
      <b val="true"/>
      <sz val="10"/>
      <color rgb="FF27251F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DA020E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DA020E"/>
        <bgColor rgb="FF9C0006"/>
      </patternFill>
    </fill>
    <fill>
      <patternFill patternType="solid">
        <fgColor rgb="FFFFC72C"/>
        <bgColor rgb="FFFF9900"/>
      </patternFill>
    </fill>
    <fill>
      <patternFill patternType="solid">
        <fgColor rgb="FF217346"/>
        <bgColor rgb="FF276221"/>
      </patternFill>
    </fill>
    <fill>
      <patternFill patternType="solid">
        <fgColor rgb="FFE8711A"/>
        <bgColor rgb="FFFF9900"/>
      </patternFill>
    </fill>
    <fill>
      <patternFill patternType="solid">
        <fgColor rgb="FF27251F"/>
        <bgColor rgb="FF333300"/>
      </patternFill>
    </fill>
    <fill>
      <patternFill patternType="solid">
        <fgColor rgb="FFFFFFFF"/>
        <bgColor rgb="FFF9F9F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C6EFCE"/>
      </patternFill>
    </fill>
    <fill>
      <patternFill patternType="solid">
        <fgColor rgb="FFF2F2F2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F9E6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FFF5CC"/>
        <bgColor rgb="FFFFF2CC"/>
      </patternFill>
    </fill>
    <fill>
      <patternFill patternType="solid">
        <fgColor rgb="FFEBF1DE"/>
        <bgColor rgb="FFF2F2F2"/>
      </patternFill>
    </fill>
    <fill>
      <patternFill patternType="solid">
        <fgColor rgb="FFFFF2CC"/>
        <bgColor rgb="FFFFF5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7251F"/>
          <bgColor rgb="FF000000"/>
        </patternFill>
      </fill>
    </dxf>
    <dxf>
      <fill>
        <patternFill patternType="solid">
          <fgColor rgb="FFDA020E"/>
          <bgColor rgb="FF000000"/>
        </patternFill>
      </fill>
    </dxf>
    <dxf>
      <fill>
        <patternFill patternType="solid">
          <fgColor rgb="FFFFC72C"/>
          <bgColor rgb="FF000000"/>
        </patternFill>
      </fill>
    </dxf>
    <dxf>
      <fill>
        <patternFill patternType="solid">
          <fgColor rgb="FF217346"/>
          <bgColor rgb="FF000000"/>
        </patternFill>
      </fill>
    </dxf>
    <dxf>
      <fill>
        <patternFill patternType="solid">
          <fgColor rgb="FFE871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A020E"/>
      <rgbColor rgb="FF00FF00"/>
      <rgbColor rgb="FF0000FF"/>
      <rgbColor rgb="FFFFF2CC"/>
      <rgbColor rgb="FFFF00FF"/>
      <rgbColor rgb="FF00FFFF"/>
      <rgbColor rgb="FF9C0006"/>
      <rgbColor rgb="FF276221"/>
      <rgbColor rgb="FF000080"/>
      <rgbColor rgb="FF808000"/>
      <rgbColor rgb="FF800080"/>
      <rgbColor rgb="FF217346"/>
      <rgbColor rgb="FFBBBBBB"/>
      <rgbColor rgb="FF878787"/>
      <rgbColor rgb="FF9999FF"/>
      <rgbColor rgb="FF993366"/>
      <rgbColor rgb="FFFFF5CC"/>
      <rgbColor rgb="FFEBF1D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9F9F9"/>
      <rgbColor rgb="FFFFF9E6"/>
      <rgbColor rgb="FFCC99FF"/>
      <rgbColor rgb="FFFFC7CE"/>
      <rgbColor rgb="FF3366FF"/>
      <rgbColor rgb="FF33CCCC"/>
      <rgbColor rgb="FF99CC00"/>
      <rgbColor rgb="FFFFC72C"/>
      <rgbColor rgb="FFFF9900"/>
      <rgbColor rgb="FFE8711A"/>
      <rgbColor rgb="FF4F81BD"/>
      <rgbColor rgb="FF999999"/>
      <rgbColor rgb="FF003366"/>
      <rgbColor rgb="FF339966"/>
      <rgbColor rgb="FF003300"/>
      <rgbColor rgb="FF333300"/>
      <rgbColor rgb="FF9C5700"/>
      <rgbColor rgb="FF993366"/>
      <rgbColor rgb="FF333399"/>
      <rgbColor rgb="FF2725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Station Dekking (% medewerkers getraind)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Dashboard'!B8</c:f>
              <c:strCache>
                <c:ptCount val="1"/>
                <c:pt idx="0">
                  <c:v>Gevuld (%)</c:v>
                </c:pt>
              </c:strCache>
            </c:strRef>
          </c:tx>
          <c:spPr>
            <a:solidFill>
              <a:srgbClr val="da020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Dashboard'!$A$9:$A$20</c:f>
              <c:strCache>
                <c:ptCount val="12"/>
                <c:pt idx="0">
                  <c:v>Assembler</c:v>
                </c:pt>
                <c:pt idx="1">
                  <c:v>Batch Cooker Friteuse</c:v>
                </c:pt>
                <c:pt idx="2">
                  <c:v>Batch Cooker Grill</c:v>
                </c:pt>
                <c:pt idx="3">
                  <c:v>Dranken Tapper</c:v>
                </c:pt>
                <c:pt idx="4">
                  <c:v>Expeditor</c:v>
                </c:pt>
                <c:pt idx="5">
                  <c:v>Friet</c:v>
                </c:pt>
                <c:pt idx="6">
                  <c:v>Initiator</c:v>
                </c:pt>
                <c:pt idx="7">
                  <c:v>Lobby</c:v>
                </c:pt>
                <c:pt idx="8">
                  <c:v>McCafé</c:v>
                </c:pt>
                <c:pt idx="9">
                  <c:v>McDelivery</c:v>
                </c:pt>
                <c:pt idx="10">
                  <c:v>Order Taker Counter</c:v>
                </c:pt>
                <c:pt idx="11">
                  <c:v>Runner-Presenter</c:v>
                </c:pt>
              </c:strCache>
            </c:strRef>
          </c:cat>
          <c:val>
            <c:numRef>
              <c:f>'📊 Dashboard'!$B$9:$B$20</c:f>
              <c:numCache>
                <c:formatCode>0%</c:formatCode>
                <c:ptCount val="12"/>
                <c:pt idx="0">
                  <c:v>0.547169811320755</c:v>
                </c:pt>
                <c:pt idx="1">
                  <c:v>0.471698113207547</c:v>
                </c:pt>
                <c:pt idx="2">
                  <c:v>0.471698113207547</c:v>
                </c:pt>
                <c:pt idx="3">
                  <c:v>0.509433962264151</c:v>
                </c:pt>
                <c:pt idx="4">
                  <c:v>0.358490566037736</c:v>
                </c:pt>
                <c:pt idx="5">
                  <c:v>0.566037735849057</c:v>
                </c:pt>
                <c:pt idx="6">
                  <c:v>0.245283018867925</c:v>
                </c:pt>
                <c:pt idx="7">
                  <c:v>0.641509433962264</c:v>
                </c:pt>
                <c:pt idx="8">
                  <c:v>0.132075471698113</c:v>
                </c:pt>
                <c:pt idx="9">
                  <c:v>0.471698113207547</c:v>
                </c:pt>
                <c:pt idx="10">
                  <c:v>0.150943396226415</c:v>
                </c:pt>
                <c:pt idx="11">
                  <c:v>0.584905660377359</c:v>
                </c:pt>
              </c:numCache>
            </c:numRef>
          </c:val>
        </c:ser>
        <c:gapWidth val="150"/>
        <c:overlap val="0"/>
        <c:axId val="28423233"/>
        <c:axId val="61662334"/>
      </c:barChart>
      <c:catAx>
        <c:axId val="2842323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Getraind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62334"/>
        <c:crosses val="autoZero"/>
        <c:auto val="1"/>
        <c:lblAlgn val="ctr"/>
        <c:lblOffset val="100"/>
        <c:noMultiLvlLbl val="0"/>
      </c:catAx>
      <c:valAx>
        <c:axId val="61662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232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Allround vs Nog Te Trainen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Dashboard'!B23</c:f>
              <c:strCache>
                <c:ptCount val="1"/>
                <c:pt idx="0">
                  <c:v>Aantal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'📊 Dashboard'!$A$24:$A$25</c:f>
              <c:strCache>
                <c:ptCount val="2"/>
                <c:pt idx="0">
                  <c:v>Allround</c:v>
                </c:pt>
                <c:pt idx="1">
                  <c:v>Nog te trainen</c:v>
                </c:pt>
              </c:strCache>
            </c:strRef>
          </c:cat>
          <c:val>
            <c:numRef>
              <c:f>'📊 Dashboard'!$B$24:$B$25</c:f>
              <c:numCache>
                <c:formatCode>General</c:formatCode>
                <c:ptCount val="2"/>
                <c:pt idx="0">
                  <c:v>12</c:v>
                </c:pt>
                <c:pt idx="1">
                  <c:v>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7</xdr:row>
      <xdr:rowOff>0</xdr:rowOff>
    </xdr:from>
    <xdr:to>
      <xdr:col>10</xdr:col>
      <xdr:colOff>785160</xdr:colOff>
      <xdr:row>33</xdr:row>
      <xdr:rowOff>86400</xdr:rowOff>
    </xdr:to>
    <xdr:graphicFrame>
      <xdr:nvGraphicFramePr>
        <xdr:cNvPr id="0" name="Chart 1"/>
        <xdr:cNvGraphicFramePr/>
      </xdr:nvGraphicFramePr>
      <xdr:xfrm>
        <a:off x="2748960" y="3057480"/>
        <a:ext cx="719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22</xdr:row>
      <xdr:rowOff>0</xdr:rowOff>
    </xdr:from>
    <xdr:to>
      <xdr:col>8</xdr:col>
      <xdr:colOff>457920</xdr:colOff>
      <xdr:row>40</xdr:row>
      <xdr:rowOff>170280</xdr:rowOff>
    </xdr:to>
    <xdr:graphicFrame>
      <xdr:nvGraphicFramePr>
        <xdr:cNvPr id="1" name="Chart 2"/>
        <xdr:cNvGraphicFramePr/>
      </xdr:nvGraphicFramePr>
      <xdr:xfrm>
        <a:off x="2748960" y="591516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2"/>
    <col collapsed="false" customWidth="true" hidden="false" outlineLevel="0" max="16" min="5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4" t="s">
        <v>2</v>
      </c>
      <c r="F2" s="4"/>
      <c r="G2" s="4"/>
      <c r="H2" s="4"/>
      <c r="I2" s="5" t="s">
        <v>3</v>
      </c>
      <c r="J2" s="5"/>
      <c r="K2" s="5"/>
      <c r="L2" s="5"/>
      <c r="M2" s="6" t="s">
        <v>4</v>
      </c>
      <c r="N2" s="6"/>
      <c r="O2" s="6"/>
      <c r="P2" s="6"/>
    </row>
    <row r="3" customFormat="false" ht="36" hidden="false" customHeight="tru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</row>
    <row r="4" customFormat="false" ht="18" hidden="false" customHeight="true" outlineLevel="0" collapsed="false">
      <c r="A4" s="8" t="s">
        <v>21</v>
      </c>
      <c r="B4" s="9" t="s">
        <v>22</v>
      </c>
      <c r="C4" s="10" t="n">
        <v>1</v>
      </c>
      <c r="D4" s="11" t="n">
        <v>0.98</v>
      </c>
      <c r="E4" s="12" t="s">
        <v>23</v>
      </c>
      <c r="F4" s="12" t="s">
        <v>23</v>
      </c>
      <c r="G4" s="12" t="s">
        <v>23</v>
      </c>
      <c r="H4" s="12" t="s">
        <v>23</v>
      </c>
      <c r="I4" s="12" t="s">
        <v>23</v>
      </c>
      <c r="J4" s="12" t="s">
        <v>23</v>
      </c>
      <c r="K4" s="12" t="s">
        <v>23</v>
      </c>
      <c r="L4" s="12" t="s">
        <v>23</v>
      </c>
      <c r="M4" s="12" t="s">
        <v>23</v>
      </c>
      <c r="N4" s="12" t="s">
        <v>23</v>
      </c>
      <c r="O4" s="12" t="s">
        <v>23</v>
      </c>
      <c r="P4" s="13" t="n">
        <v>0.98</v>
      </c>
    </row>
    <row r="5" customFormat="false" ht="18" hidden="false" customHeight="true" outlineLevel="0" collapsed="false">
      <c r="A5" s="14" t="s">
        <v>24</v>
      </c>
      <c r="B5" s="9" t="s">
        <v>25</v>
      </c>
      <c r="C5" s="15" t="n">
        <v>2</v>
      </c>
      <c r="D5" s="16" t="n">
        <v>1</v>
      </c>
      <c r="E5" s="17" t="n">
        <v>1</v>
      </c>
      <c r="F5" s="12" t="s">
        <v>23</v>
      </c>
      <c r="G5" s="12" t="s">
        <v>23</v>
      </c>
      <c r="H5" s="12" t="s">
        <v>23</v>
      </c>
      <c r="I5" s="12" t="s">
        <v>23</v>
      </c>
      <c r="J5" s="12" t="s">
        <v>23</v>
      </c>
      <c r="K5" s="12" t="s">
        <v>23</v>
      </c>
      <c r="L5" s="17" t="n">
        <v>1</v>
      </c>
      <c r="M5" s="12" t="s">
        <v>23</v>
      </c>
      <c r="N5" s="12" t="s">
        <v>23</v>
      </c>
      <c r="O5" s="12" t="s">
        <v>23</v>
      </c>
      <c r="P5" s="12" t="s">
        <v>23</v>
      </c>
    </row>
    <row r="6" customFormat="false" ht="18" hidden="false" customHeight="true" outlineLevel="0" collapsed="false">
      <c r="A6" s="8" t="s">
        <v>26</v>
      </c>
      <c r="B6" s="9" t="s">
        <v>27</v>
      </c>
      <c r="C6" s="10" t="n">
        <v>0</v>
      </c>
      <c r="D6" s="10" t="s">
        <v>23</v>
      </c>
      <c r="E6" s="12" t="s">
        <v>23</v>
      </c>
      <c r="F6" s="12" t="s">
        <v>23</v>
      </c>
      <c r="G6" s="12" t="s">
        <v>23</v>
      </c>
      <c r="H6" s="12" t="s">
        <v>23</v>
      </c>
      <c r="I6" s="12" t="s">
        <v>23</v>
      </c>
      <c r="J6" s="12" t="s">
        <v>23</v>
      </c>
      <c r="K6" s="12" t="s">
        <v>23</v>
      </c>
      <c r="L6" s="12" t="s">
        <v>23</v>
      </c>
      <c r="M6" s="12" t="s">
        <v>23</v>
      </c>
      <c r="N6" s="12" t="s">
        <v>23</v>
      </c>
      <c r="O6" s="12" t="s">
        <v>23</v>
      </c>
      <c r="P6" s="12" t="s">
        <v>23</v>
      </c>
    </row>
    <row r="7" customFormat="false" ht="18" hidden="false" customHeight="true" outlineLevel="0" collapsed="false">
      <c r="A7" s="18" t="s">
        <v>28</v>
      </c>
      <c r="B7" s="19" t="s">
        <v>29</v>
      </c>
      <c r="C7" s="20" t="n">
        <v>11</v>
      </c>
      <c r="D7" s="21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2" t="s">
        <v>23</v>
      </c>
      <c r="N7" s="17" t="n">
        <v>1</v>
      </c>
      <c r="O7" s="17" t="n">
        <v>1</v>
      </c>
      <c r="P7" s="17" t="n">
        <v>1</v>
      </c>
    </row>
    <row r="8" customFormat="false" ht="18" hidden="false" customHeight="true" outlineLevel="0" collapsed="false">
      <c r="A8" s="8" t="s">
        <v>30</v>
      </c>
      <c r="B8" s="9" t="s">
        <v>31</v>
      </c>
      <c r="C8" s="10" t="n">
        <v>5</v>
      </c>
      <c r="D8" s="11" t="n">
        <v>0.984</v>
      </c>
      <c r="E8" s="12" t="s">
        <v>23</v>
      </c>
      <c r="F8" s="12" t="s">
        <v>23</v>
      </c>
      <c r="G8" s="12" t="s">
        <v>23</v>
      </c>
      <c r="H8" s="13" t="n">
        <v>0.96</v>
      </c>
      <c r="I8" s="12" t="s">
        <v>23</v>
      </c>
      <c r="J8" s="13" t="n">
        <v>0.98</v>
      </c>
      <c r="K8" s="12" t="s">
        <v>23</v>
      </c>
      <c r="L8" s="17" t="n">
        <v>1</v>
      </c>
      <c r="M8" s="12" t="s">
        <v>23</v>
      </c>
      <c r="N8" s="17" t="n">
        <v>1</v>
      </c>
      <c r="O8" s="12" t="s">
        <v>23</v>
      </c>
      <c r="P8" s="13" t="n">
        <v>0.98</v>
      </c>
    </row>
    <row r="9" customFormat="false" ht="18" hidden="false" customHeight="true" outlineLevel="0" collapsed="false">
      <c r="A9" s="18" t="s">
        <v>32</v>
      </c>
      <c r="B9" s="19" t="s">
        <v>29</v>
      </c>
      <c r="C9" s="20" t="n">
        <v>10</v>
      </c>
      <c r="D9" s="21" t="n">
        <v>0.995</v>
      </c>
      <c r="E9" s="17" t="n">
        <v>1</v>
      </c>
      <c r="F9" s="17" t="n">
        <v>1</v>
      </c>
      <c r="G9" s="17" t="n">
        <v>1</v>
      </c>
      <c r="H9" s="17" t="n">
        <v>1</v>
      </c>
      <c r="I9" s="13" t="n">
        <v>0.99</v>
      </c>
      <c r="J9" s="13" t="n">
        <v>0.96</v>
      </c>
      <c r="K9" s="17" t="n">
        <v>1</v>
      </c>
      <c r="L9" s="17" t="n">
        <v>1</v>
      </c>
      <c r="M9" s="12" t="s">
        <v>23</v>
      </c>
      <c r="N9" s="17" t="n">
        <v>1</v>
      </c>
      <c r="O9" s="12" t="s">
        <v>23</v>
      </c>
      <c r="P9" s="17" t="n">
        <v>1</v>
      </c>
    </row>
    <row r="10" customFormat="false" ht="18" hidden="false" customHeight="true" outlineLevel="0" collapsed="false">
      <c r="A10" s="8" t="s">
        <v>33</v>
      </c>
      <c r="B10" s="9" t="s">
        <v>34</v>
      </c>
      <c r="C10" s="10" t="n">
        <v>3</v>
      </c>
      <c r="D10" s="11" t="n">
        <v>0.993333333333333</v>
      </c>
      <c r="E10" s="12" t="s">
        <v>23</v>
      </c>
      <c r="F10" s="12" t="s">
        <v>23</v>
      </c>
      <c r="G10" s="13" t="n">
        <v>0.98</v>
      </c>
      <c r="H10" s="17" t="n">
        <v>1</v>
      </c>
      <c r="I10" s="12" t="s">
        <v>23</v>
      </c>
      <c r="J10" s="12" t="s">
        <v>23</v>
      </c>
      <c r="K10" s="12" t="s">
        <v>23</v>
      </c>
      <c r="L10" s="17" t="n">
        <v>1</v>
      </c>
      <c r="M10" s="12" t="s">
        <v>23</v>
      </c>
      <c r="N10" s="12" t="s">
        <v>23</v>
      </c>
      <c r="O10" s="12" t="s">
        <v>23</v>
      </c>
      <c r="P10" s="12" t="s">
        <v>23</v>
      </c>
    </row>
    <row r="11" customFormat="false" ht="18" hidden="false" customHeight="true" outlineLevel="0" collapsed="false">
      <c r="A11" s="14" t="s">
        <v>35</v>
      </c>
      <c r="B11" s="9" t="s">
        <v>27</v>
      </c>
      <c r="C11" s="15" t="n">
        <v>0</v>
      </c>
      <c r="D11" s="15" t="s">
        <v>23</v>
      </c>
      <c r="E11" s="12" t="s">
        <v>23</v>
      </c>
      <c r="F11" s="12" t="s">
        <v>23</v>
      </c>
      <c r="G11" s="12" t="s">
        <v>23</v>
      </c>
      <c r="H11" s="12" t="s">
        <v>23</v>
      </c>
      <c r="I11" s="12" t="s">
        <v>23</v>
      </c>
      <c r="J11" s="12" t="s">
        <v>23</v>
      </c>
      <c r="K11" s="12" t="s">
        <v>23</v>
      </c>
      <c r="L11" s="12" t="s">
        <v>23</v>
      </c>
      <c r="M11" s="12" t="s">
        <v>23</v>
      </c>
      <c r="N11" s="12" t="s">
        <v>23</v>
      </c>
      <c r="O11" s="12" t="s">
        <v>23</v>
      </c>
      <c r="P11" s="12" t="s">
        <v>23</v>
      </c>
    </row>
    <row r="12" customFormat="false" ht="18" hidden="false" customHeight="true" outlineLevel="0" collapsed="false">
      <c r="A12" s="8" t="s">
        <v>36</v>
      </c>
      <c r="B12" s="9" t="s">
        <v>25</v>
      </c>
      <c r="C12" s="10" t="n">
        <v>2</v>
      </c>
      <c r="D12" s="11" t="n">
        <v>1</v>
      </c>
      <c r="E12" s="17" t="n">
        <v>1</v>
      </c>
      <c r="F12" s="12" t="s">
        <v>23</v>
      </c>
      <c r="G12" s="12" t="s">
        <v>23</v>
      </c>
      <c r="H12" s="12" t="s">
        <v>23</v>
      </c>
      <c r="I12" s="12" t="s">
        <v>23</v>
      </c>
      <c r="J12" s="12" t="s">
        <v>23</v>
      </c>
      <c r="K12" s="12" t="s">
        <v>23</v>
      </c>
      <c r="L12" s="12" t="s">
        <v>23</v>
      </c>
      <c r="M12" s="17" t="n">
        <v>1</v>
      </c>
      <c r="N12" s="12" t="s">
        <v>23</v>
      </c>
      <c r="O12" s="12" t="s">
        <v>23</v>
      </c>
      <c r="P12" s="12" t="s">
        <v>23</v>
      </c>
    </row>
    <row r="13" customFormat="false" ht="18" hidden="false" customHeight="true" outlineLevel="0" collapsed="false">
      <c r="A13" s="14" t="s">
        <v>37</v>
      </c>
      <c r="B13" s="9" t="s">
        <v>31</v>
      </c>
      <c r="C13" s="15" t="n">
        <v>5</v>
      </c>
      <c r="D13" s="16" t="n">
        <v>0.996</v>
      </c>
      <c r="E13" s="17" t="n">
        <v>1</v>
      </c>
      <c r="F13" s="12" t="s">
        <v>23</v>
      </c>
      <c r="G13" s="12" t="s">
        <v>23</v>
      </c>
      <c r="H13" s="12" t="s">
        <v>23</v>
      </c>
      <c r="I13" s="12" t="s">
        <v>23</v>
      </c>
      <c r="J13" s="17" t="n">
        <v>1</v>
      </c>
      <c r="K13" s="12" t="s">
        <v>23</v>
      </c>
      <c r="L13" s="17" t="n">
        <v>1</v>
      </c>
      <c r="M13" s="12" t="s">
        <v>23</v>
      </c>
      <c r="N13" s="17" t="n">
        <v>1</v>
      </c>
      <c r="O13" s="12" t="s">
        <v>23</v>
      </c>
      <c r="P13" s="13" t="n">
        <v>0.98</v>
      </c>
    </row>
    <row r="14" customFormat="false" ht="18" hidden="false" customHeight="true" outlineLevel="0" collapsed="false">
      <c r="A14" s="8" t="s">
        <v>38</v>
      </c>
      <c r="B14" s="9" t="s">
        <v>27</v>
      </c>
      <c r="C14" s="10" t="n">
        <v>0</v>
      </c>
      <c r="D14" s="10" t="s">
        <v>23</v>
      </c>
      <c r="E14" s="12" t="s">
        <v>23</v>
      </c>
      <c r="F14" s="12" t="s">
        <v>23</v>
      </c>
      <c r="G14" s="12" t="s">
        <v>23</v>
      </c>
      <c r="H14" s="12" t="s">
        <v>23</v>
      </c>
      <c r="I14" s="12" t="s">
        <v>23</v>
      </c>
      <c r="J14" s="12" t="s">
        <v>23</v>
      </c>
      <c r="K14" s="12" t="s">
        <v>23</v>
      </c>
      <c r="L14" s="12" t="s">
        <v>23</v>
      </c>
      <c r="M14" s="12" t="s">
        <v>23</v>
      </c>
      <c r="N14" s="12" t="s">
        <v>23</v>
      </c>
      <c r="O14" s="12" t="s">
        <v>23</v>
      </c>
      <c r="P14" s="12" t="s">
        <v>23</v>
      </c>
    </row>
    <row r="15" customFormat="false" ht="18" hidden="false" customHeight="true" outlineLevel="0" collapsed="false">
      <c r="A15" s="14" t="s">
        <v>39</v>
      </c>
      <c r="B15" s="9" t="s">
        <v>31</v>
      </c>
      <c r="C15" s="15" t="n">
        <v>5</v>
      </c>
      <c r="D15" s="16" t="n">
        <v>0.926</v>
      </c>
      <c r="E15" s="22" t="n">
        <v>0.87</v>
      </c>
      <c r="F15" s="22" t="n">
        <v>0.85</v>
      </c>
      <c r="G15" s="17" t="n">
        <v>1</v>
      </c>
      <c r="H15" s="12" t="s">
        <v>23</v>
      </c>
      <c r="I15" s="12" t="s">
        <v>23</v>
      </c>
      <c r="J15" s="22" t="n">
        <v>0.91</v>
      </c>
      <c r="K15" s="12" t="s">
        <v>23</v>
      </c>
      <c r="L15" s="17" t="n">
        <v>1</v>
      </c>
      <c r="M15" s="12" t="s">
        <v>23</v>
      </c>
      <c r="N15" s="12" t="s">
        <v>23</v>
      </c>
      <c r="O15" s="12" t="s">
        <v>23</v>
      </c>
      <c r="P15" s="12" t="s">
        <v>23</v>
      </c>
    </row>
    <row r="16" customFormat="false" ht="18" hidden="false" customHeight="true" outlineLevel="0" collapsed="false">
      <c r="A16" s="8" t="s">
        <v>40</v>
      </c>
      <c r="B16" s="9" t="s">
        <v>27</v>
      </c>
      <c r="C16" s="10" t="n">
        <v>0</v>
      </c>
      <c r="D16" s="10" t="s">
        <v>23</v>
      </c>
      <c r="E16" s="12" t="s">
        <v>23</v>
      </c>
      <c r="F16" s="12" t="s">
        <v>23</v>
      </c>
      <c r="G16" s="12" t="s">
        <v>23</v>
      </c>
      <c r="H16" s="12" t="s">
        <v>23</v>
      </c>
      <c r="I16" s="12" t="s">
        <v>23</v>
      </c>
      <c r="J16" s="12" t="s">
        <v>23</v>
      </c>
      <c r="K16" s="12" t="s">
        <v>23</v>
      </c>
      <c r="L16" s="12" t="s">
        <v>23</v>
      </c>
      <c r="M16" s="12" t="s">
        <v>23</v>
      </c>
      <c r="N16" s="12" t="s">
        <v>23</v>
      </c>
      <c r="O16" s="12" t="s">
        <v>23</v>
      </c>
      <c r="P16" s="12" t="s">
        <v>23</v>
      </c>
    </row>
    <row r="17" customFormat="false" ht="18" hidden="false" customHeight="true" outlineLevel="0" collapsed="false">
      <c r="A17" s="14" t="s">
        <v>41</v>
      </c>
      <c r="B17" s="9" t="s">
        <v>42</v>
      </c>
      <c r="C17" s="15" t="n">
        <v>4</v>
      </c>
      <c r="D17" s="16" t="n">
        <v>0.9725</v>
      </c>
      <c r="E17" s="22" t="n">
        <v>0.89</v>
      </c>
      <c r="F17" s="12" t="s">
        <v>23</v>
      </c>
      <c r="G17" s="12" t="s">
        <v>23</v>
      </c>
      <c r="H17" s="12" t="s">
        <v>23</v>
      </c>
      <c r="I17" s="12" t="s">
        <v>23</v>
      </c>
      <c r="J17" s="17" t="n">
        <v>1</v>
      </c>
      <c r="K17" s="12" t="s">
        <v>23</v>
      </c>
      <c r="L17" s="17" t="n">
        <v>1</v>
      </c>
      <c r="M17" s="12" t="s">
        <v>23</v>
      </c>
      <c r="N17" s="12" t="s">
        <v>23</v>
      </c>
      <c r="O17" s="12" t="s">
        <v>23</v>
      </c>
      <c r="P17" s="17" t="n">
        <v>1</v>
      </c>
    </row>
    <row r="18" customFormat="false" ht="18" hidden="false" customHeight="true" outlineLevel="0" collapsed="false">
      <c r="A18" s="8" t="s">
        <v>43</v>
      </c>
      <c r="B18" s="9" t="s">
        <v>27</v>
      </c>
      <c r="C18" s="10" t="n">
        <v>0</v>
      </c>
      <c r="D18" s="10" t="s">
        <v>23</v>
      </c>
      <c r="E18" s="12" t="s">
        <v>23</v>
      </c>
      <c r="F18" s="12" t="s">
        <v>23</v>
      </c>
      <c r="G18" s="12" t="s">
        <v>23</v>
      </c>
      <c r="H18" s="12" t="s">
        <v>23</v>
      </c>
      <c r="I18" s="12" t="s">
        <v>23</v>
      </c>
      <c r="J18" s="12" t="s">
        <v>23</v>
      </c>
      <c r="K18" s="12" t="s">
        <v>23</v>
      </c>
      <c r="L18" s="12" t="s">
        <v>23</v>
      </c>
      <c r="M18" s="12" t="s">
        <v>23</v>
      </c>
      <c r="N18" s="12" t="s">
        <v>23</v>
      </c>
      <c r="O18" s="12" t="s">
        <v>23</v>
      </c>
      <c r="P18" s="12" t="s">
        <v>23</v>
      </c>
    </row>
    <row r="19" customFormat="false" ht="18" hidden="false" customHeight="true" outlineLevel="0" collapsed="false">
      <c r="A19" s="14" t="s">
        <v>44</v>
      </c>
      <c r="B19" s="9" t="s">
        <v>27</v>
      </c>
      <c r="C19" s="15" t="n">
        <v>0</v>
      </c>
      <c r="D19" s="15" t="s">
        <v>23</v>
      </c>
      <c r="E19" s="12" t="s">
        <v>23</v>
      </c>
      <c r="F19" s="12" t="s">
        <v>23</v>
      </c>
      <c r="G19" s="12" t="s">
        <v>23</v>
      </c>
      <c r="H19" s="12" t="s">
        <v>23</v>
      </c>
      <c r="I19" s="12" t="s">
        <v>23</v>
      </c>
      <c r="J19" s="12" t="s">
        <v>23</v>
      </c>
      <c r="K19" s="12" t="s">
        <v>23</v>
      </c>
      <c r="L19" s="12" t="s">
        <v>23</v>
      </c>
      <c r="M19" s="12" t="s">
        <v>23</v>
      </c>
      <c r="N19" s="12" t="s">
        <v>23</v>
      </c>
      <c r="O19" s="12" t="s">
        <v>23</v>
      </c>
      <c r="P19" s="12" t="s">
        <v>23</v>
      </c>
    </row>
    <row r="20" customFormat="false" ht="18" hidden="false" customHeight="true" outlineLevel="0" collapsed="false">
      <c r="A20" s="8" t="s">
        <v>45</v>
      </c>
      <c r="B20" s="9" t="s">
        <v>31</v>
      </c>
      <c r="C20" s="10" t="n">
        <v>5</v>
      </c>
      <c r="D20" s="11" t="n">
        <v>0.996</v>
      </c>
      <c r="E20" s="17" t="n">
        <v>1</v>
      </c>
      <c r="F20" s="17" t="n">
        <v>1</v>
      </c>
      <c r="G20" s="13" t="n">
        <v>0.98</v>
      </c>
      <c r="H20" s="12" t="s">
        <v>23</v>
      </c>
      <c r="I20" s="12" t="s">
        <v>23</v>
      </c>
      <c r="J20" s="17" t="n">
        <v>1</v>
      </c>
      <c r="K20" s="12" t="s">
        <v>23</v>
      </c>
      <c r="L20" s="17" t="n">
        <v>1</v>
      </c>
      <c r="M20" s="12" t="s">
        <v>23</v>
      </c>
      <c r="N20" s="12" t="s">
        <v>23</v>
      </c>
      <c r="O20" s="12" t="s">
        <v>23</v>
      </c>
      <c r="P20" s="12" t="s">
        <v>23</v>
      </c>
    </row>
    <row r="21" customFormat="false" ht="18" hidden="false" customHeight="true" outlineLevel="0" collapsed="false">
      <c r="A21" s="14" t="s">
        <v>46</v>
      </c>
      <c r="B21" s="9" t="s">
        <v>22</v>
      </c>
      <c r="C21" s="15" t="n">
        <v>1</v>
      </c>
      <c r="D21" s="16" t="n">
        <v>1</v>
      </c>
      <c r="E21" s="12" t="s">
        <v>23</v>
      </c>
      <c r="F21" s="12" t="s">
        <v>23</v>
      </c>
      <c r="G21" s="12" t="s">
        <v>23</v>
      </c>
      <c r="H21" s="12" t="s">
        <v>23</v>
      </c>
      <c r="I21" s="12" t="s">
        <v>23</v>
      </c>
      <c r="J21" s="12" t="s">
        <v>23</v>
      </c>
      <c r="K21" s="12" t="s">
        <v>23</v>
      </c>
      <c r="L21" s="17" t="n">
        <v>1</v>
      </c>
      <c r="M21" s="12" t="s">
        <v>23</v>
      </c>
      <c r="N21" s="12" t="s">
        <v>23</v>
      </c>
      <c r="O21" s="12" t="s">
        <v>23</v>
      </c>
      <c r="P21" s="12" t="s">
        <v>23</v>
      </c>
    </row>
    <row r="22" customFormat="false" ht="18" hidden="false" customHeight="true" outlineLevel="0" collapsed="false">
      <c r="A22" s="8" t="s">
        <v>47</v>
      </c>
      <c r="B22" s="9" t="s">
        <v>27</v>
      </c>
      <c r="C22" s="10" t="n">
        <v>0</v>
      </c>
      <c r="D22" s="10" t="s">
        <v>23</v>
      </c>
      <c r="E22" s="12" t="s">
        <v>23</v>
      </c>
      <c r="F22" s="12" t="s">
        <v>23</v>
      </c>
      <c r="G22" s="12" t="s">
        <v>23</v>
      </c>
      <c r="H22" s="12" t="s">
        <v>23</v>
      </c>
      <c r="I22" s="12" t="s">
        <v>23</v>
      </c>
      <c r="J22" s="12" t="s">
        <v>23</v>
      </c>
      <c r="K22" s="12" t="s">
        <v>23</v>
      </c>
      <c r="L22" s="12" t="s">
        <v>23</v>
      </c>
      <c r="M22" s="12" t="s">
        <v>23</v>
      </c>
      <c r="N22" s="12" t="s">
        <v>23</v>
      </c>
      <c r="O22" s="12" t="s">
        <v>23</v>
      </c>
      <c r="P22" s="12" t="s">
        <v>23</v>
      </c>
    </row>
    <row r="23" customFormat="false" ht="18" hidden="false" customHeight="true" outlineLevel="0" collapsed="false">
      <c r="A23" s="14" t="s">
        <v>48</v>
      </c>
      <c r="B23" s="9" t="s">
        <v>25</v>
      </c>
      <c r="C23" s="15" t="n">
        <v>2</v>
      </c>
      <c r="D23" s="16" t="n">
        <v>1</v>
      </c>
      <c r="E23" s="12" t="s">
        <v>23</v>
      </c>
      <c r="F23" s="12" t="s">
        <v>23</v>
      </c>
      <c r="G23" s="12" t="s">
        <v>23</v>
      </c>
      <c r="H23" s="12" t="s">
        <v>23</v>
      </c>
      <c r="I23" s="12" t="s">
        <v>23</v>
      </c>
      <c r="J23" s="12" t="s">
        <v>23</v>
      </c>
      <c r="K23" s="12" t="s">
        <v>23</v>
      </c>
      <c r="L23" s="17" t="n">
        <v>1</v>
      </c>
      <c r="M23" s="12" t="s">
        <v>23</v>
      </c>
      <c r="N23" s="12" t="s">
        <v>23</v>
      </c>
      <c r="O23" s="12" t="s">
        <v>23</v>
      </c>
      <c r="P23" s="17" t="n">
        <v>1</v>
      </c>
    </row>
    <row r="24" customFormat="false" ht="18" hidden="false" customHeight="true" outlineLevel="0" collapsed="false">
      <c r="A24" s="23" t="s">
        <v>49</v>
      </c>
      <c r="B24" s="19" t="s">
        <v>29</v>
      </c>
      <c r="C24" s="24" t="n">
        <v>12</v>
      </c>
      <c r="D24" s="25" t="n">
        <v>1</v>
      </c>
      <c r="E24" s="17" t="n">
        <v>1</v>
      </c>
      <c r="F24" s="17" t="n">
        <v>1</v>
      </c>
      <c r="G24" s="17" t="n">
        <v>1</v>
      </c>
      <c r="H24" s="17" t="n">
        <v>1</v>
      </c>
      <c r="I24" s="17" t="n">
        <v>1</v>
      </c>
      <c r="J24" s="17" t="n">
        <v>1</v>
      </c>
      <c r="K24" s="17" t="n">
        <v>1</v>
      </c>
      <c r="L24" s="17" t="n">
        <v>1</v>
      </c>
      <c r="M24" s="17" t="n">
        <v>1</v>
      </c>
      <c r="N24" s="17" t="n">
        <v>1</v>
      </c>
      <c r="O24" s="17" t="n">
        <v>1</v>
      </c>
      <c r="P24" s="17" t="n">
        <v>1</v>
      </c>
    </row>
    <row r="25" customFormat="false" ht="18" hidden="false" customHeight="true" outlineLevel="0" collapsed="false">
      <c r="A25" s="14" t="s">
        <v>50</v>
      </c>
      <c r="B25" s="9" t="s">
        <v>51</v>
      </c>
      <c r="C25" s="15" t="n">
        <v>7</v>
      </c>
      <c r="D25" s="16" t="n">
        <v>0.994285714285714</v>
      </c>
      <c r="E25" s="17" t="n">
        <v>1</v>
      </c>
      <c r="F25" s="12" t="s">
        <v>23</v>
      </c>
      <c r="G25" s="17" t="n">
        <v>1</v>
      </c>
      <c r="H25" s="17" t="n">
        <v>1</v>
      </c>
      <c r="I25" s="12" t="s">
        <v>23</v>
      </c>
      <c r="J25" s="13" t="n">
        <v>0.98</v>
      </c>
      <c r="K25" s="12" t="s">
        <v>23</v>
      </c>
      <c r="L25" s="17" t="n">
        <v>1</v>
      </c>
      <c r="M25" s="12" t="s">
        <v>23</v>
      </c>
      <c r="N25" s="17" t="n">
        <v>1</v>
      </c>
      <c r="O25" s="12" t="s">
        <v>23</v>
      </c>
      <c r="P25" s="13" t="n">
        <v>0.98</v>
      </c>
    </row>
    <row r="26" customFormat="false" ht="18" hidden="false" customHeight="true" outlineLevel="0" collapsed="false">
      <c r="A26" s="8" t="s">
        <v>52</v>
      </c>
      <c r="B26" s="9" t="s">
        <v>27</v>
      </c>
      <c r="C26" s="10" t="n">
        <v>0</v>
      </c>
      <c r="D26" s="10" t="s">
        <v>23</v>
      </c>
      <c r="E26" s="12" t="s">
        <v>23</v>
      </c>
      <c r="F26" s="12" t="s">
        <v>23</v>
      </c>
      <c r="G26" s="12" t="s">
        <v>23</v>
      </c>
      <c r="H26" s="12" t="s">
        <v>23</v>
      </c>
      <c r="I26" s="12" t="s">
        <v>23</v>
      </c>
      <c r="J26" s="12" t="s">
        <v>23</v>
      </c>
      <c r="K26" s="12" t="s">
        <v>23</v>
      </c>
      <c r="L26" s="12" t="s">
        <v>23</v>
      </c>
      <c r="M26" s="12" t="s">
        <v>23</v>
      </c>
      <c r="N26" s="12" t="s">
        <v>23</v>
      </c>
      <c r="O26" s="12" t="s">
        <v>23</v>
      </c>
      <c r="P26" s="12" t="s">
        <v>23</v>
      </c>
    </row>
    <row r="27" customFormat="false" ht="18" hidden="false" customHeight="true" outlineLevel="0" collapsed="false">
      <c r="A27" s="14" t="s">
        <v>53</v>
      </c>
      <c r="B27" s="9" t="s">
        <v>27</v>
      </c>
      <c r="C27" s="15" t="n">
        <v>0</v>
      </c>
      <c r="D27" s="15" t="s">
        <v>23</v>
      </c>
      <c r="E27" s="12" t="s">
        <v>23</v>
      </c>
      <c r="F27" s="12" t="s">
        <v>23</v>
      </c>
      <c r="G27" s="12" t="s">
        <v>23</v>
      </c>
      <c r="H27" s="12" t="s">
        <v>23</v>
      </c>
      <c r="I27" s="12" t="s">
        <v>23</v>
      </c>
      <c r="J27" s="12" t="s">
        <v>23</v>
      </c>
      <c r="K27" s="12" t="s">
        <v>23</v>
      </c>
      <c r="L27" s="12" t="s">
        <v>23</v>
      </c>
      <c r="M27" s="12" t="s">
        <v>23</v>
      </c>
      <c r="N27" s="12" t="s">
        <v>23</v>
      </c>
      <c r="O27" s="12" t="s">
        <v>23</v>
      </c>
      <c r="P27" s="12" t="s">
        <v>23</v>
      </c>
    </row>
    <row r="28" customFormat="false" ht="18" hidden="false" customHeight="true" outlineLevel="0" collapsed="false">
      <c r="A28" s="8" t="s">
        <v>54</v>
      </c>
      <c r="B28" s="9" t="s">
        <v>55</v>
      </c>
      <c r="C28" s="10" t="n">
        <v>6</v>
      </c>
      <c r="D28" s="11" t="n">
        <v>0.996666666666667</v>
      </c>
      <c r="E28" s="17" t="n">
        <v>1</v>
      </c>
      <c r="F28" s="12" t="s">
        <v>23</v>
      </c>
      <c r="G28" s="17" t="n">
        <v>1</v>
      </c>
      <c r="H28" s="12" t="s">
        <v>23</v>
      </c>
      <c r="I28" s="12" t="s">
        <v>23</v>
      </c>
      <c r="J28" s="17" t="n">
        <v>1</v>
      </c>
      <c r="K28" s="12" t="s">
        <v>23</v>
      </c>
      <c r="L28" s="17" t="n">
        <v>1</v>
      </c>
      <c r="M28" s="12" t="s">
        <v>23</v>
      </c>
      <c r="N28" s="17" t="n">
        <v>1</v>
      </c>
      <c r="O28" s="12" t="s">
        <v>23</v>
      </c>
      <c r="P28" s="13" t="n">
        <v>0.98</v>
      </c>
    </row>
    <row r="29" customFormat="false" ht="18" hidden="false" customHeight="true" outlineLevel="0" collapsed="false">
      <c r="A29" s="18" t="s">
        <v>56</v>
      </c>
      <c r="B29" s="19" t="s">
        <v>29</v>
      </c>
      <c r="C29" s="20" t="n">
        <v>10</v>
      </c>
      <c r="D29" s="21" t="n">
        <v>0.995</v>
      </c>
      <c r="E29" s="17" t="n">
        <v>1</v>
      </c>
      <c r="F29" s="17" t="n">
        <v>1</v>
      </c>
      <c r="G29" s="17" t="n">
        <v>1</v>
      </c>
      <c r="H29" s="17" t="n">
        <v>1</v>
      </c>
      <c r="I29" s="17" t="n">
        <v>1</v>
      </c>
      <c r="J29" s="13" t="n">
        <v>0.97</v>
      </c>
      <c r="K29" s="17" t="n">
        <v>1</v>
      </c>
      <c r="L29" s="17" t="n">
        <v>1</v>
      </c>
      <c r="M29" s="12" t="s">
        <v>23</v>
      </c>
      <c r="N29" s="17" t="n">
        <v>1</v>
      </c>
      <c r="O29" s="12" t="s">
        <v>23</v>
      </c>
      <c r="P29" s="13" t="n">
        <v>0.98</v>
      </c>
    </row>
    <row r="30" customFormat="false" ht="18" hidden="false" customHeight="true" outlineLevel="0" collapsed="false">
      <c r="A30" s="8" t="s">
        <v>57</v>
      </c>
      <c r="B30" s="9" t="s">
        <v>22</v>
      </c>
      <c r="C30" s="10" t="n">
        <v>1</v>
      </c>
      <c r="D30" s="11" t="n">
        <v>0.96</v>
      </c>
      <c r="E30" s="12" t="s">
        <v>23</v>
      </c>
      <c r="F30" s="13" t="n">
        <v>0.96</v>
      </c>
      <c r="G30" s="12" t="s">
        <v>23</v>
      </c>
      <c r="H30" s="12" t="s">
        <v>23</v>
      </c>
      <c r="I30" s="12" t="s">
        <v>23</v>
      </c>
      <c r="J30" s="12" t="s">
        <v>23</v>
      </c>
      <c r="K30" s="12" t="s">
        <v>23</v>
      </c>
      <c r="L30" s="12" t="s">
        <v>23</v>
      </c>
      <c r="M30" s="12" t="s">
        <v>23</v>
      </c>
      <c r="N30" s="12" t="s">
        <v>23</v>
      </c>
      <c r="O30" s="12" t="s">
        <v>23</v>
      </c>
      <c r="P30" s="12" t="s">
        <v>23</v>
      </c>
    </row>
    <row r="31" customFormat="false" ht="18" hidden="false" customHeight="true" outlineLevel="0" collapsed="false">
      <c r="A31" s="18" t="s">
        <v>58</v>
      </c>
      <c r="B31" s="19" t="s">
        <v>29</v>
      </c>
      <c r="C31" s="20" t="n">
        <v>10</v>
      </c>
      <c r="D31" s="21" t="n">
        <v>0.984</v>
      </c>
      <c r="E31" s="17" t="n">
        <v>1</v>
      </c>
      <c r="F31" s="17" t="n">
        <v>1</v>
      </c>
      <c r="G31" s="13" t="n">
        <v>0.95</v>
      </c>
      <c r="H31" s="17" t="n">
        <v>1</v>
      </c>
      <c r="I31" s="17" t="n">
        <v>1</v>
      </c>
      <c r="J31" s="22" t="n">
        <v>0.91</v>
      </c>
      <c r="K31" s="17" t="n">
        <v>1</v>
      </c>
      <c r="L31" s="17" t="n">
        <v>1</v>
      </c>
      <c r="M31" s="12" t="s">
        <v>23</v>
      </c>
      <c r="N31" s="17" t="n">
        <v>1</v>
      </c>
      <c r="O31" s="12" t="s">
        <v>23</v>
      </c>
      <c r="P31" s="13" t="n">
        <v>0.98</v>
      </c>
    </row>
    <row r="32" customFormat="false" ht="18" hidden="false" customHeight="true" outlineLevel="0" collapsed="false">
      <c r="A32" s="23" t="s">
        <v>59</v>
      </c>
      <c r="B32" s="19" t="s">
        <v>29</v>
      </c>
      <c r="C32" s="24" t="n">
        <v>11</v>
      </c>
      <c r="D32" s="25" t="n">
        <v>0.990909090909091</v>
      </c>
      <c r="E32" s="17" t="n">
        <v>1</v>
      </c>
      <c r="F32" s="17" t="n">
        <v>1</v>
      </c>
      <c r="G32" s="13" t="n">
        <v>0.98</v>
      </c>
      <c r="H32" s="17" t="n">
        <v>1</v>
      </c>
      <c r="I32" s="17" t="n">
        <v>1</v>
      </c>
      <c r="J32" s="17" t="n">
        <v>1</v>
      </c>
      <c r="K32" s="12" t="s">
        <v>23</v>
      </c>
      <c r="L32" s="17" t="n">
        <v>1</v>
      </c>
      <c r="M32" s="13" t="n">
        <v>0.97</v>
      </c>
      <c r="N32" s="17" t="n">
        <v>1</v>
      </c>
      <c r="O32" s="13" t="n">
        <v>0.95</v>
      </c>
      <c r="P32" s="17" t="n">
        <v>1</v>
      </c>
    </row>
    <row r="33" customFormat="false" ht="18" hidden="false" customHeight="true" outlineLevel="0" collapsed="false">
      <c r="A33" s="14" t="s">
        <v>60</v>
      </c>
      <c r="B33" s="9" t="s">
        <v>27</v>
      </c>
      <c r="C33" s="15" t="n">
        <v>0</v>
      </c>
      <c r="D33" s="15" t="s">
        <v>23</v>
      </c>
      <c r="E33" s="12" t="s">
        <v>23</v>
      </c>
      <c r="F33" s="12" t="s">
        <v>23</v>
      </c>
      <c r="G33" s="12" t="s">
        <v>23</v>
      </c>
      <c r="H33" s="12" t="s">
        <v>23</v>
      </c>
      <c r="I33" s="12" t="s">
        <v>23</v>
      </c>
      <c r="J33" s="12" t="s">
        <v>23</v>
      </c>
      <c r="K33" s="12" t="s">
        <v>23</v>
      </c>
      <c r="L33" s="12" t="s">
        <v>23</v>
      </c>
      <c r="M33" s="12" t="s">
        <v>23</v>
      </c>
      <c r="N33" s="12" t="s">
        <v>23</v>
      </c>
      <c r="O33" s="12" t="s">
        <v>23</v>
      </c>
      <c r="P33" s="12" t="s">
        <v>23</v>
      </c>
    </row>
    <row r="34" customFormat="false" ht="18" hidden="false" customHeight="true" outlineLevel="0" collapsed="false">
      <c r="A34" s="8" t="s">
        <v>61</v>
      </c>
      <c r="B34" s="9" t="s">
        <v>27</v>
      </c>
      <c r="C34" s="10" t="n">
        <v>0</v>
      </c>
      <c r="D34" s="10" t="s">
        <v>23</v>
      </c>
      <c r="E34" s="12" t="s">
        <v>23</v>
      </c>
      <c r="F34" s="12" t="s">
        <v>23</v>
      </c>
      <c r="G34" s="12" t="s">
        <v>23</v>
      </c>
      <c r="H34" s="12" t="s">
        <v>23</v>
      </c>
      <c r="I34" s="12" t="s">
        <v>23</v>
      </c>
      <c r="J34" s="12" t="s">
        <v>23</v>
      </c>
      <c r="K34" s="12" t="s">
        <v>23</v>
      </c>
      <c r="L34" s="12" t="s">
        <v>23</v>
      </c>
      <c r="M34" s="12" t="s">
        <v>23</v>
      </c>
      <c r="N34" s="12" t="s">
        <v>23</v>
      </c>
      <c r="O34" s="12" t="s">
        <v>23</v>
      </c>
      <c r="P34" s="12" t="s">
        <v>23</v>
      </c>
    </row>
    <row r="35" customFormat="false" ht="18" hidden="false" customHeight="true" outlineLevel="0" collapsed="false">
      <c r="A35" s="14" t="s">
        <v>62</v>
      </c>
      <c r="B35" s="9" t="s">
        <v>63</v>
      </c>
      <c r="C35" s="15" t="n">
        <v>9</v>
      </c>
      <c r="D35" s="16" t="n">
        <v>1</v>
      </c>
      <c r="E35" s="17" t="n">
        <v>1</v>
      </c>
      <c r="F35" s="17" t="n">
        <v>1</v>
      </c>
      <c r="G35" s="17" t="n">
        <v>1</v>
      </c>
      <c r="H35" s="17" t="n">
        <v>1</v>
      </c>
      <c r="I35" s="12" t="s">
        <v>23</v>
      </c>
      <c r="J35" s="17" t="n">
        <v>1</v>
      </c>
      <c r="K35" s="17" t="n">
        <v>1</v>
      </c>
      <c r="L35" s="17" t="n">
        <v>1</v>
      </c>
      <c r="M35" s="12" t="s">
        <v>23</v>
      </c>
      <c r="N35" s="17" t="n">
        <v>1</v>
      </c>
      <c r="O35" s="12" t="s">
        <v>23</v>
      </c>
      <c r="P35" s="17" t="n">
        <v>1</v>
      </c>
    </row>
    <row r="36" customFormat="false" ht="18" hidden="false" customHeight="true" outlineLevel="0" collapsed="false">
      <c r="A36" s="8" t="s">
        <v>64</v>
      </c>
      <c r="B36" s="9" t="s">
        <v>51</v>
      </c>
      <c r="C36" s="10" t="n">
        <v>7</v>
      </c>
      <c r="D36" s="11" t="n">
        <v>0.992857142857143</v>
      </c>
      <c r="E36" s="17" t="n">
        <v>1</v>
      </c>
      <c r="F36" s="12" t="s">
        <v>23</v>
      </c>
      <c r="G36" s="12" t="s">
        <v>23</v>
      </c>
      <c r="H36" s="17" t="n">
        <v>1</v>
      </c>
      <c r="I36" s="13" t="n">
        <v>0.95</v>
      </c>
      <c r="J36" s="17" t="n">
        <v>1</v>
      </c>
      <c r="K36" s="12" t="s">
        <v>23</v>
      </c>
      <c r="L36" s="17" t="n">
        <v>1</v>
      </c>
      <c r="M36" s="12" t="s">
        <v>23</v>
      </c>
      <c r="N36" s="17" t="n">
        <v>1</v>
      </c>
      <c r="O36" s="12" t="s">
        <v>23</v>
      </c>
      <c r="P36" s="17" t="n">
        <v>1</v>
      </c>
    </row>
    <row r="37" customFormat="false" ht="18" hidden="false" customHeight="true" outlineLevel="0" collapsed="false">
      <c r="A37" s="18" t="s">
        <v>65</v>
      </c>
      <c r="B37" s="19" t="s">
        <v>29</v>
      </c>
      <c r="C37" s="20" t="n">
        <v>10</v>
      </c>
      <c r="D37" s="21" t="n">
        <v>0.989</v>
      </c>
      <c r="E37" s="17" t="n">
        <v>1</v>
      </c>
      <c r="F37" s="17" t="n">
        <v>1</v>
      </c>
      <c r="G37" s="17" t="n">
        <v>1</v>
      </c>
      <c r="H37" s="17" t="n">
        <v>1</v>
      </c>
      <c r="I37" s="13" t="n">
        <v>0.98</v>
      </c>
      <c r="J37" s="22" t="n">
        <v>0.93</v>
      </c>
      <c r="K37" s="17" t="n">
        <v>1</v>
      </c>
      <c r="L37" s="17" t="n">
        <v>1</v>
      </c>
      <c r="M37" s="12" t="s">
        <v>23</v>
      </c>
      <c r="N37" s="17" t="n">
        <v>1</v>
      </c>
      <c r="O37" s="12" t="s">
        <v>23</v>
      </c>
      <c r="P37" s="13" t="n">
        <v>0.98</v>
      </c>
    </row>
    <row r="38" customFormat="false" ht="18" hidden="false" customHeight="true" outlineLevel="0" collapsed="false">
      <c r="A38" s="8" t="s">
        <v>66</v>
      </c>
      <c r="B38" s="9" t="s">
        <v>27</v>
      </c>
      <c r="C38" s="10" t="n">
        <v>0</v>
      </c>
      <c r="D38" s="10" t="s">
        <v>23</v>
      </c>
      <c r="E38" s="12" t="s">
        <v>23</v>
      </c>
      <c r="F38" s="12" t="s">
        <v>23</v>
      </c>
      <c r="G38" s="12" t="s">
        <v>23</v>
      </c>
      <c r="H38" s="12" t="s">
        <v>23</v>
      </c>
      <c r="I38" s="12" t="s">
        <v>23</v>
      </c>
      <c r="J38" s="12" t="s">
        <v>23</v>
      </c>
      <c r="K38" s="12" t="s">
        <v>23</v>
      </c>
      <c r="L38" s="12" t="s">
        <v>23</v>
      </c>
      <c r="M38" s="12" t="s">
        <v>23</v>
      </c>
      <c r="N38" s="12" t="s">
        <v>23</v>
      </c>
      <c r="O38" s="12" t="s">
        <v>23</v>
      </c>
      <c r="P38" s="12" t="s">
        <v>23</v>
      </c>
    </row>
    <row r="39" customFormat="false" ht="18" hidden="false" customHeight="true" outlineLevel="0" collapsed="false">
      <c r="A39" s="14" t="s">
        <v>67</v>
      </c>
      <c r="B39" s="9" t="s">
        <v>22</v>
      </c>
      <c r="C39" s="15" t="n">
        <v>1</v>
      </c>
      <c r="D39" s="16" t="n">
        <v>1</v>
      </c>
      <c r="E39" s="12" t="s">
        <v>23</v>
      </c>
      <c r="F39" s="12" t="s">
        <v>23</v>
      </c>
      <c r="G39" s="12" t="s">
        <v>23</v>
      </c>
      <c r="H39" s="12" t="s">
        <v>23</v>
      </c>
      <c r="I39" s="12" t="s">
        <v>23</v>
      </c>
      <c r="J39" s="17" t="n">
        <v>1</v>
      </c>
      <c r="K39" s="12" t="s">
        <v>23</v>
      </c>
      <c r="L39" s="12" t="s">
        <v>23</v>
      </c>
      <c r="M39" s="12" t="s">
        <v>23</v>
      </c>
      <c r="N39" s="12" t="s">
        <v>23</v>
      </c>
      <c r="O39" s="12" t="s">
        <v>23</v>
      </c>
      <c r="P39" s="12" t="s">
        <v>23</v>
      </c>
    </row>
    <row r="40" customFormat="false" ht="18" hidden="false" customHeight="true" outlineLevel="0" collapsed="false">
      <c r="A40" s="8" t="s">
        <v>68</v>
      </c>
      <c r="B40" s="9" t="s">
        <v>34</v>
      </c>
      <c r="C40" s="10" t="n">
        <v>3</v>
      </c>
      <c r="D40" s="11" t="n">
        <v>0.993333333333333</v>
      </c>
      <c r="E40" s="12" t="s">
        <v>23</v>
      </c>
      <c r="F40" s="17" t="n">
        <v>1</v>
      </c>
      <c r="G40" s="12" t="s">
        <v>23</v>
      </c>
      <c r="H40" s="17" t="n">
        <v>1</v>
      </c>
      <c r="I40" s="12" t="s">
        <v>23</v>
      </c>
      <c r="J40" s="12" t="s">
        <v>23</v>
      </c>
      <c r="K40" s="12" t="s">
        <v>23</v>
      </c>
      <c r="L40" s="12" t="s">
        <v>23</v>
      </c>
      <c r="M40" s="12" t="s">
        <v>23</v>
      </c>
      <c r="N40" s="12" t="s">
        <v>23</v>
      </c>
      <c r="O40" s="12" t="s">
        <v>23</v>
      </c>
      <c r="P40" s="13" t="n">
        <v>0.98</v>
      </c>
    </row>
    <row r="41" customFormat="false" ht="18" hidden="false" customHeight="true" outlineLevel="0" collapsed="false">
      <c r="A41" s="14" t="s">
        <v>69</v>
      </c>
      <c r="B41" s="9" t="s">
        <v>27</v>
      </c>
      <c r="C41" s="15" t="n">
        <v>0</v>
      </c>
      <c r="D41" s="15" t="s">
        <v>23</v>
      </c>
      <c r="E41" s="12" t="s">
        <v>23</v>
      </c>
      <c r="F41" s="12" t="s">
        <v>23</v>
      </c>
      <c r="G41" s="12" t="s">
        <v>23</v>
      </c>
      <c r="H41" s="12" t="s">
        <v>23</v>
      </c>
      <c r="I41" s="12" t="s">
        <v>23</v>
      </c>
      <c r="J41" s="12" t="s">
        <v>23</v>
      </c>
      <c r="K41" s="12" t="s">
        <v>23</v>
      </c>
      <c r="L41" s="12" t="s">
        <v>23</v>
      </c>
      <c r="M41" s="12" t="s">
        <v>23</v>
      </c>
      <c r="N41" s="12" t="s">
        <v>23</v>
      </c>
      <c r="O41" s="12" t="s">
        <v>23</v>
      </c>
      <c r="P41" s="12" t="s">
        <v>23</v>
      </c>
    </row>
    <row r="42" customFormat="false" ht="18" hidden="false" customHeight="true" outlineLevel="0" collapsed="false">
      <c r="A42" s="8" t="s">
        <v>70</v>
      </c>
      <c r="B42" s="9" t="s">
        <v>63</v>
      </c>
      <c r="C42" s="10" t="n">
        <v>9</v>
      </c>
      <c r="D42" s="11" t="n">
        <v>0.983333333333333</v>
      </c>
      <c r="E42" s="17" t="n">
        <v>1</v>
      </c>
      <c r="F42" s="22" t="n">
        <v>0.93</v>
      </c>
      <c r="G42" s="17" t="n">
        <v>1</v>
      </c>
      <c r="H42" s="13" t="n">
        <v>0.96</v>
      </c>
      <c r="I42" s="13" t="n">
        <v>0.98</v>
      </c>
      <c r="J42" s="17" t="n">
        <v>1</v>
      </c>
      <c r="K42" s="12" t="s">
        <v>23</v>
      </c>
      <c r="L42" s="17" t="n">
        <v>1</v>
      </c>
      <c r="M42" s="12" t="s">
        <v>23</v>
      </c>
      <c r="N42" s="17" t="n">
        <v>1</v>
      </c>
      <c r="O42" s="12" t="s">
        <v>23</v>
      </c>
      <c r="P42" s="13" t="n">
        <v>0.98</v>
      </c>
    </row>
    <row r="43" customFormat="false" ht="18" hidden="false" customHeight="true" outlineLevel="0" collapsed="false">
      <c r="A43" s="14" t="s">
        <v>71</v>
      </c>
      <c r="B43" s="9" t="s">
        <v>27</v>
      </c>
      <c r="C43" s="15" t="n">
        <v>0</v>
      </c>
      <c r="D43" s="15" t="s">
        <v>23</v>
      </c>
      <c r="E43" s="12" t="s">
        <v>23</v>
      </c>
      <c r="F43" s="12" t="s">
        <v>23</v>
      </c>
      <c r="G43" s="12" t="s">
        <v>23</v>
      </c>
      <c r="H43" s="12" t="s">
        <v>23</v>
      </c>
      <c r="I43" s="12" t="s">
        <v>23</v>
      </c>
      <c r="J43" s="12" t="s">
        <v>23</v>
      </c>
      <c r="K43" s="12" t="s">
        <v>23</v>
      </c>
      <c r="L43" s="12" t="s">
        <v>23</v>
      </c>
      <c r="M43" s="12" t="s">
        <v>23</v>
      </c>
      <c r="N43" s="12" t="s">
        <v>23</v>
      </c>
      <c r="O43" s="12" t="s">
        <v>23</v>
      </c>
      <c r="P43" s="12" t="s">
        <v>23</v>
      </c>
    </row>
    <row r="44" customFormat="false" ht="18" hidden="false" customHeight="true" outlineLevel="0" collapsed="false">
      <c r="A44" s="8" t="s">
        <v>72</v>
      </c>
      <c r="B44" s="9" t="s">
        <v>63</v>
      </c>
      <c r="C44" s="10" t="n">
        <v>9</v>
      </c>
      <c r="D44" s="11" t="n">
        <v>0.993333333333333</v>
      </c>
      <c r="E44" s="17" t="n">
        <v>1</v>
      </c>
      <c r="F44" s="17" t="n">
        <v>1</v>
      </c>
      <c r="G44" s="17" t="n">
        <v>1</v>
      </c>
      <c r="H44" s="17" t="n">
        <v>1</v>
      </c>
      <c r="I44" s="22" t="n">
        <v>0.94</v>
      </c>
      <c r="J44" s="17" t="n">
        <v>1</v>
      </c>
      <c r="K44" s="12" t="s">
        <v>23</v>
      </c>
      <c r="L44" s="17" t="n">
        <v>1</v>
      </c>
      <c r="M44" s="12" t="s">
        <v>23</v>
      </c>
      <c r="N44" s="17" t="n">
        <v>1</v>
      </c>
      <c r="O44" s="12" t="s">
        <v>23</v>
      </c>
      <c r="P44" s="17" t="n">
        <v>1</v>
      </c>
    </row>
    <row r="45" customFormat="false" ht="18" hidden="false" customHeight="true" outlineLevel="0" collapsed="false">
      <c r="A45" s="14" t="s">
        <v>73</v>
      </c>
      <c r="B45" s="9" t="s">
        <v>34</v>
      </c>
      <c r="C45" s="15" t="n">
        <v>3</v>
      </c>
      <c r="D45" s="16" t="n">
        <v>0.993333333333333</v>
      </c>
      <c r="E45" s="12" t="s">
        <v>23</v>
      </c>
      <c r="F45" s="12" t="s">
        <v>23</v>
      </c>
      <c r="G45" s="12" t="s">
        <v>23</v>
      </c>
      <c r="H45" s="17" t="n">
        <v>1</v>
      </c>
      <c r="I45" s="12" t="s">
        <v>23</v>
      </c>
      <c r="J45" s="12" t="s">
        <v>23</v>
      </c>
      <c r="K45" s="12" t="s">
        <v>23</v>
      </c>
      <c r="L45" s="17" t="n">
        <v>1</v>
      </c>
      <c r="M45" s="12" t="s">
        <v>23</v>
      </c>
      <c r="N45" s="12" t="s">
        <v>23</v>
      </c>
      <c r="O45" s="12" t="s">
        <v>23</v>
      </c>
      <c r="P45" s="13" t="n">
        <v>0.98</v>
      </c>
    </row>
    <row r="46" customFormat="false" ht="18" hidden="false" customHeight="true" outlineLevel="0" collapsed="false">
      <c r="A46" s="23" t="s">
        <v>74</v>
      </c>
      <c r="B46" s="19" t="s">
        <v>29</v>
      </c>
      <c r="C46" s="24" t="n">
        <v>12</v>
      </c>
      <c r="D46" s="25" t="n">
        <v>0.979166666666667</v>
      </c>
      <c r="E46" s="17" t="n">
        <v>1</v>
      </c>
      <c r="F46" s="17" t="n">
        <v>1</v>
      </c>
      <c r="G46" s="17" t="n">
        <v>1</v>
      </c>
      <c r="H46" s="22" t="n">
        <v>0.93</v>
      </c>
      <c r="I46" s="22" t="n">
        <v>0.89</v>
      </c>
      <c r="J46" s="17" t="n">
        <v>1</v>
      </c>
      <c r="K46" s="17" t="n">
        <v>1</v>
      </c>
      <c r="L46" s="17" t="n">
        <v>1</v>
      </c>
      <c r="M46" s="17" t="n">
        <v>1</v>
      </c>
      <c r="N46" s="17" t="n">
        <v>1</v>
      </c>
      <c r="O46" s="17" t="n">
        <v>1</v>
      </c>
      <c r="P46" s="22" t="n">
        <v>0.93</v>
      </c>
    </row>
    <row r="47" customFormat="false" ht="18" hidden="false" customHeight="true" outlineLevel="0" collapsed="false">
      <c r="A47" s="14" t="s">
        <v>75</v>
      </c>
      <c r="B47" s="9" t="s">
        <v>63</v>
      </c>
      <c r="C47" s="15" t="n">
        <v>9</v>
      </c>
      <c r="D47" s="16" t="n">
        <v>0.995555555555556</v>
      </c>
      <c r="E47" s="17" t="n">
        <v>1</v>
      </c>
      <c r="F47" s="17" t="n">
        <v>1</v>
      </c>
      <c r="G47" s="17" t="n">
        <v>1</v>
      </c>
      <c r="H47" s="17" t="n">
        <v>1</v>
      </c>
      <c r="I47" s="13" t="n">
        <v>0.98</v>
      </c>
      <c r="J47" s="13" t="n">
        <v>0.98</v>
      </c>
      <c r="K47" s="12" t="s">
        <v>23</v>
      </c>
      <c r="L47" s="17" t="n">
        <v>1</v>
      </c>
      <c r="M47" s="12" t="s">
        <v>23</v>
      </c>
      <c r="N47" s="17" t="n">
        <v>1</v>
      </c>
      <c r="O47" s="12" t="s">
        <v>23</v>
      </c>
      <c r="P47" s="17" t="n">
        <v>1</v>
      </c>
    </row>
    <row r="48" customFormat="false" ht="18" hidden="false" customHeight="true" outlineLevel="0" collapsed="false">
      <c r="A48" s="8" t="s">
        <v>76</v>
      </c>
      <c r="B48" s="9" t="s">
        <v>51</v>
      </c>
      <c r="C48" s="10" t="n">
        <v>7</v>
      </c>
      <c r="D48" s="11" t="n">
        <v>0.975714285714286</v>
      </c>
      <c r="E48" s="12" t="s">
        <v>23</v>
      </c>
      <c r="F48" s="17" t="n">
        <v>1</v>
      </c>
      <c r="G48" s="17" t="n">
        <v>1</v>
      </c>
      <c r="H48" s="13" t="n">
        <v>0.95</v>
      </c>
      <c r="I48" s="13" t="n">
        <v>0.95</v>
      </c>
      <c r="J48" s="13" t="n">
        <v>0.98</v>
      </c>
      <c r="K48" s="12" t="s">
        <v>23</v>
      </c>
      <c r="L48" s="17" t="n">
        <v>1</v>
      </c>
      <c r="M48" s="12" t="s">
        <v>23</v>
      </c>
      <c r="N48" s="12" t="s">
        <v>23</v>
      </c>
      <c r="O48" s="12" t="s">
        <v>23</v>
      </c>
      <c r="P48" s="13" t="n">
        <v>0.95</v>
      </c>
    </row>
    <row r="49" customFormat="false" ht="18" hidden="false" customHeight="true" outlineLevel="0" collapsed="false">
      <c r="A49" s="14" t="s">
        <v>77</v>
      </c>
      <c r="B49" s="9" t="s">
        <v>63</v>
      </c>
      <c r="C49" s="15" t="n">
        <v>9</v>
      </c>
      <c r="D49" s="16" t="n">
        <v>0.993333333333333</v>
      </c>
      <c r="E49" s="17" t="n">
        <v>1</v>
      </c>
      <c r="F49" s="17" t="n">
        <v>1</v>
      </c>
      <c r="G49" s="17" t="n">
        <v>1</v>
      </c>
      <c r="H49" s="17" t="n">
        <v>1</v>
      </c>
      <c r="I49" s="13" t="n">
        <v>0.96</v>
      </c>
      <c r="J49" s="17" t="n">
        <v>1</v>
      </c>
      <c r="K49" s="12" t="s">
        <v>23</v>
      </c>
      <c r="L49" s="17" t="n">
        <v>1</v>
      </c>
      <c r="M49" s="12" t="s">
        <v>23</v>
      </c>
      <c r="N49" s="17" t="n">
        <v>1</v>
      </c>
      <c r="O49" s="12" t="s">
        <v>23</v>
      </c>
      <c r="P49" s="13" t="n">
        <v>0.98</v>
      </c>
    </row>
    <row r="50" customFormat="false" ht="18" hidden="false" customHeight="true" outlineLevel="0" collapsed="false">
      <c r="A50" s="23" t="s">
        <v>78</v>
      </c>
      <c r="B50" s="19" t="s">
        <v>29</v>
      </c>
      <c r="C50" s="24" t="n">
        <v>12</v>
      </c>
      <c r="D50" s="25" t="n">
        <v>1</v>
      </c>
      <c r="E50" s="17" t="n">
        <v>1</v>
      </c>
      <c r="F50" s="17" t="n">
        <v>1</v>
      </c>
      <c r="G50" s="17" t="n">
        <v>1</v>
      </c>
      <c r="H50" s="17" t="n">
        <v>1</v>
      </c>
      <c r="I50" s="17" t="n">
        <v>1</v>
      </c>
      <c r="J50" s="17" t="n">
        <v>1</v>
      </c>
      <c r="K50" s="17" t="n">
        <v>1</v>
      </c>
      <c r="L50" s="17" t="n">
        <v>1</v>
      </c>
      <c r="M50" s="17" t="n">
        <v>1</v>
      </c>
      <c r="N50" s="17" t="n">
        <v>1</v>
      </c>
      <c r="O50" s="17" t="n">
        <v>1</v>
      </c>
      <c r="P50" s="17" t="n">
        <v>1</v>
      </c>
    </row>
    <row r="51" customFormat="false" ht="18" hidden="false" customHeight="true" outlineLevel="0" collapsed="false">
      <c r="A51" s="18" t="s">
        <v>79</v>
      </c>
      <c r="B51" s="19" t="s">
        <v>29</v>
      </c>
      <c r="C51" s="20" t="n">
        <v>11</v>
      </c>
      <c r="D51" s="21" t="n">
        <v>0.969090909090909</v>
      </c>
      <c r="E51" s="17" t="n">
        <v>1</v>
      </c>
      <c r="F51" s="22" t="n">
        <v>0.86</v>
      </c>
      <c r="G51" s="17" t="n">
        <v>1</v>
      </c>
      <c r="H51" s="17" t="n">
        <v>1</v>
      </c>
      <c r="I51" s="22" t="n">
        <v>0.93</v>
      </c>
      <c r="J51" s="17" t="n">
        <v>1</v>
      </c>
      <c r="K51" s="22" t="n">
        <v>0.91</v>
      </c>
      <c r="L51" s="17" t="n">
        <v>1</v>
      </c>
      <c r="M51" s="12" t="s">
        <v>23</v>
      </c>
      <c r="N51" s="17" t="n">
        <v>1</v>
      </c>
      <c r="O51" s="13" t="n">
        <v>0.98</v>
      </c>
      <c r="P51" s="13" t="n">
        <v>0.98</v>
      </c>
    </row>
    <row r="52" customFormat="false" ht="18" hidden="false" customHeight="true" outlineLevel="0" collapsed="false">
      <c r="A52" s="23" t="s">
        <v>80</v>
      </c>
      <c r="B52" s="19" t="s">
        <v>29</v>
      </c>
      <c r="C52" s="24" t="n">
        <v>12</v>
      </c>
      <c r="D52" s="25" t="n">
        <v>1</v>
      </c>
      <c r="E52" s="17" t="n">
        <v>1</v>
      </c>
      <c r="F52" s="17" t="n">
        <v>1</v>
      </c>
      <c r="G52" s="17" t="n">
        <v>1</v>
      </c>
      <c r="H52" s="17" t="n">
        <v>1</v>
      </c>
      <c r="I52" s="17" t="n">
        <v>1</v>
      </c>
      <c r="J52" s="17" t="n">
        <v>1</v>
      </c>
      <c r="K52" s="17" t="n">
        <v>1</v>
      </c>
      <c r="L52" s="17" t="n">
        <v>1</v>
      </c>
      <c r="M52" s="17" t="n">
        <v>1</v>
      </c>
      <c r="N52" s="17" t="n">
        <v>1</v>
      </c>
      <c r="O52" s="17" t="n">
        <v>1</v>
      </c>
      <c r="P52" s="17" t="n">
        <v>1</v>
      </c>
    </row>
    <row r="53" customFormat="false" ht="18" hidden="false" customHeight="true" outlineLevel="0" collapsed="false">
      <c r="A53" s="14" t="s">
        <v>81</v>
      </c>
      <c r="B53" s="9" t="s">
        <v>63</v>
      </c>
      <c r="C53" s="15" t="n">
        <v>9</v>
      </c>
      <c r="D53" s="16" t="n">
        <v>0.997777777777778</v>
      </c>
      <c r="E53" s="17" t="n">
        <v>1</v>
      </c>
      <c r="F53" s="17" t="n">
        <v>1</v>
      </c>
      <c r="G53" s="17" t="n">
        <v>1</v>
      </c>
      <c r="H53" s="17" t="n">
        <v>1</v>
      </c>
      <c r="I53" s="12" t="s">
        <v>23</v>
      </c>
      <c r="J53" s="17" t="n">
        <v>1</v>
      </c>
      <c r="K53" s="13" t="n">
        <v>0.98</v>
      </c>
      <c r="L53" s="17" t="n">
        <v>1</v>
      </c>
      <c r="M53" s="12" t="s">
        <v>23</v>
      </c>
      <c r="N53" s="17" t="n">
        <v>1</v>
      </c>
      <c r="O53" s="12" t="s">
        <v>23</v>
      </c>
      <c r="P53" s="17" t="n">
        <v>1</v>
      </c>
    </row>
    <row r="54" customFormat="false" ht="18" hidden="false" customHeight="true" outlineLevel="0" collapsed="false">
      <c r="A54" s="23" t="s">
        <v>82</v>
      </c>
      <c r="B54" s="19" t="s">
        <v>29</v>
      </c>
      <c r="C54" s="24" t="n">
        <v>12</v>
      </c>
      <c r="D54" s="25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</row>
    <row r="55" customFormat="false" ht="18" hidden="false" customHeight="true" outlineLevel="0" collapsed="false">
      <c r="A55" s="14" t="s">
        <v>83</v>
      </c>
      <c r="B55" s="9" t="s">
        <v>84</v>
      </c>
      <c r="C55" s="15" t="n">
        <v>8</v>
      </c>
      <c r="D55" s="16" t="n">
        <v>0.98375</v>
      </c>
      <c r="E55" s="17" t="n">
        <v>1</v>
      </c>
      <c r="F55" s="17" t="n">
        <v>1</v>
      </c>
      <c r="G55" s="12" t="s">
        <v>23</v>
      </c>
      <c r="H55" s="17" t="n">
        <v>1</v>
      </c>
      <c r="I55" s="22" t="n">
        <v>0.94</v>
      </c>
      <c r="J55" s="13" t="n">
        <v>0.95</v>
      </c>
      <c r="K55" s="12" t="s">
        <v>23</v>
      </c>
      <c r="L55" s="17" t="n">
        <v>1</v>
      </c>
      <c r="M55" s="12" t="s">
        <v>23</v>
      </c>
      <c r="N55" s="17" t="n">
        <v>1</v>
      </c>
      <c r="O55" s="12" t="s">
        <v>23</v>
      </c>
      <c r="P55" s="13" t="n">
        <v>0.98</v>
      </c>
    </row>
    <row r="56" customFormat="false" ht="18" hidden="false" customHeight="true" outlineLevel="0" collapsed="false">
      <c r="A56" s="8" t="s">
        <v>85</v>
      </c>
      <c r="B56" s="9" t="s">
        <v>84</v>
      </c>
      <c r="C56" s="10" t="n">
        <v>8</v>
      </c>
      <c r="D56" s="11" t="n">
        <v>0.94375</v>
      </c>
      <c r="E56" s="22" t="n">
        <v>0.85</v>
      </c>
      <c r="F56" s="22" t="n">
        <v>0.87</v>
      </c>
      <c r="G56" s="22" t="n">
        <v>0.91</v>
      </c>
      <c r="H56" s="13" t="n">
        <v>0.96</v>
      </c>
      <c r="I56" s="12" t="s">
        <v>23</v>
      </c>
      <c r="J56" s="17" t="n">
        <v>1</v>
      </c>
      <c r="K56" s="12" t="s">
        <v>23</v>
      </c>
      <c r="L56" s="17" t="n">
        <v>1</v>
      </c>
      <c r="M56" s="12" t="s">
        <v>23</v>
      </c>
      <c r="N56" s="13" t="n">
        <v>0.98</v>
      </c>
      <c r="O56" s="12" t="s">
        <v>23</v>
      </c>
      <c r="P56" s="13" t="n">
        <v>0.98</v>
      </c>
    </row>
  </sheetData>
  <autoFilter ref="A3:P3"/>
  <mergeCells count="5">
    <mergeCell ref="A1:P1"/>
    <mergeCell ref="A2:D2"/>
    <mergeCell ref="E2:H2"/>
    <mergeCell ref="I2:L2"/>
    <mergeCell ref="M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15" min="4" style="1" width="14"/>
  </cols>
  <sheetData>
    <row r="1" customFormat="false" ht="30" hidden="false" customHeight="true" outlineLevel="0" collapsed="false">
      <c r="A1" s="26" t="s">
        <v>86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36" hidden="false" customHeight="true" outlineLevel="0" collapsed="false">
      <c r="A2" s="27" t="s">
        <v>5</v>
      </c>
      <c r="B2" s="27" t="s">
        <v>7</v>
      </c>
      <c r="C2" s="27" t="s">
        <v>8</v>
      </c>
      <c r="D2" s="27" t="s">
        <v>9</v>
      </c>
      <c r="E2" s="27" t="s">
        <v>10</v>
      </c>
      <c r="F2" s="27" t="s">
        <v>11</v>
      </c>
      <c r="G2" s="27" t="s">
        <v>12</v>
      </c>
      <c r="H2" s="27" t="s">
        <v>13</v>
      </c>
      <c r="I2" s="27" t="s">
        <v>14</v>
      </c>
      <c r="J2" s="27" t="s">
        <v>15</v>
      </c>
      <c r="K2" s="27" t="s">
        <v>16</v>
      </c>
      <c r="L2" s="27" t="s">
        <v>17</v>
      </c>
      <c r="M2" s="27" t="s">
        <v>18</v>
      </c>
      <c r="N2" s="27" t="s">
        <v>19</v>
      </c>
      <c r="O2" s="27" t="s">
        <v>20</v>
      </c>
    </row>
    <row r="3" customFormat="false" ht="18" hidden="false" customHeight="true" outlineLevel="0" collapsed="false">
      <c r="A3" s="28" t="s">
        <v>87</v>
      </c>
      <c r="B3" s="29" t="n">
        <v>11</v>
      </c>
      <c r="C3" s="30" t="n">
        <v>1</v>
      </c>
      <c r="D3" s="17" t="n">
        <v>1</v>
      </c>
      <c r="E3" s="17" t="n">
        <v>1</v>
      </c>
      <c r="F3" s="17" t="n">
        <v>1</v>
      </c>
      <c r="G3" s="17" t="n">
        <v>1</v>
      </c>
      <c r="H3" s="17" t="n">
        <v>1</v>
      </c>
      <c r="I3" s="17" t="n">
        <v>1</v>
      </c>
      <c r="J3" s="17" t="n">
        <v>1</v>
      </c>
      <c r="K3" s="17" t="n">
        <v>1</v>
      </c>
      <c r="L3" s="12" t="s">
        <v>23</v>
      </c>
      <c r="M3" s="17" t="n">
        <v>1</v>
      </c>
      <c r="N3" s="17" t="n">
        <v>1</v>
      </c>
      <c r="O3" s="17" t="n">
        <v>1</v>
      </c>
    </row>
    <row r="4" customFormat="false" ht="18" hidden="false" customHeight="true" outlineLevel="0" collapsed="false">
      <c r="A4" s="31" t="s">
        <v>88</v>
      </c>
      <c r="B4" s="10" t="n">
        <v>12</v>
      </c>
      <c r="C4" s="11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17" t="n">
        <v>1</v>
      </c>
      <c r="M4" s="17" t="n">
        <v>1</v>
      </c>
      <c r="N4" s="17" t="n">
        <v>1</v>
      </c>
      <c r="O4" s="17" t="n">
        <v>1</v>
      </c>
    </row>
    <row r="5" customFormat="false" ht="18" hidden="false" customHeight="true" outlineLevel="0" collapsed="false">
      <c r="A5" s="28" t="s">
        <v>89</v>
      </c>
      <c r="B5" s="29" t="n">
        <v>12</v>
      </c>
      <c r="C5" s="30" t="n">
        <v>1</v>
      </c>
      <c r="D5" s="17" t="n">
        <v>1</v>
      </c>
      <c r="E5" s="17" t="n">
        <v>1</v>
      </c>
      <c r="F5" s="17" t="n">
        <v>1</v>
      </c>
      <c r="G5" s="17" t="n">
        <v>1</v>
      </c>
      <c r="H5" s="17" t="n">
        <v>1</v>
      </c>
      <c r="I5" s="17" t="n">
        <v>1</v>
      </c>
      <c r="J5" s="17" t="n">
        <v>1</v>
      </c>
      <c r="K5" s="17" t="n">
        <v>1</v>
      </c>
      <c r="L5" s="17" t="n">
        <v>1</v>
      </c>
      <c r="M5" s="17" t="n">
        <v>1</v>
      </c>
      <c r="N5" s="17" t="n">
        <v>1</v>
      </c>
      <c r="O5" s="17" t="n">
        <v>1</v>
      </c>
    </row>
    <row r="6" customFormat="false" ht="18" hidden="false" customHeight="true" outlineLevel="0" collapsed="false">
      <c r="A6" s="31" t="s">
        <v>90</v>
      </c>
      <c r="B6" s="10" t="n">
        <v>12</v>
      </c>
      <c r="C6" s="11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</row>
    <row r="7" customFormat="false" ht="18" hidden="false" customHeight="true" outlineLevel="0" collapsed="false">
      <c r="A7" s="28" t="s">
        <v>91</v>
      </c>
      <c r="B7" s="29" t="n">
        <v>12</v>
      </c>
      <c r="C7" s="30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</row>
    <row r="8" customFormat="false" ht="18" hidden="false" customHeight="true" outlineLevel="0" collapsed="false">
      <c r="A8" s="31" t="s">
        <v>92</v>
      </c>
      <c r="B8" s="10" t="n">
        <v>10</v>
      </c>
      <c r="C8" s="11" t="n">
        <v>0.995</v>
      </c>
      <c r="D8" s="17" t="n">
        <v>1</v>
      </c>
      <c r="E8" s="17" t="n">
        <v>1</v>
      </c>
      <c r="F8" s="17" t="n">
        <v>1</v>
      </c>
      <c r="G8" s="17" t="n">
        <v>1</v>
      </c>
      <c r="H8" s="13" t="n">
        <v>0.99</v>
      </c>
      <c r="I8" s="13" t="n">
        <v>0.96</v>
      </c>
      <c r="J8" s="17" t="n">
        <v>1</v>
      </c>
      <c r="K8" s="17" t="n">
        <v>1</v>
      </c>
      <c r="L8" s="12" t="s">
        <v>23</v>
      </c>
      <c r="M8" s="17" t="n">
        <v>1</v>
      </c>
      <c r="N8" s="12" t="s">
        <v>23</v>
      </c>
      <c r="O8" s="17" t="n">
        <v>1</v>
      </c>
    </row>
    <row r="9" customFormat="false" ht="18" hidden="false" customHeight="true" outlineLevel="0" collapsed="false">
      <c r="A9" s="28" t="s">
        <v>93</v>
      </c>
      <c r="B9" s="29" t="n">
        <v>10</v>
      </c>
      <c r="C9" s="30" t="n">
        <v>0.995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3" t="n">
        <v>0.97</v>
      </c>
      <c r="J9" s="17" t="n">
        <v>1</v>
      </c>
      <c r="K9" s="17" t="n">
        <v>1</v>
      </c>
      <c r="L9" s="12" t="s">
        <v>23</v>
      </c>
      <c r="M9" s="17" t="n">
        <v>1</v>
      </c>
      <c r="N9" s="12" t="s">
        <v>23</v>
      </c>
      <c r="O9" s="13" t="n">
        <v>0.98</v>
      </c>
    </row>
    <row r="10" customFormat="false" ht="18" hidden="false" customHeight="true" outlineLevel="0" collapsed="false">
      <c r="A10" s="31" t="s">
        <v>94</v>
      </c>
      <c r="B10" s="10" t="n">
        <v>11</v>
      </c>
      <c r="C10" s="11" t="n">
        <v>0.990909090909091</v>
      </c>
      <c r="D10" s="17" t="n">
        <v>1</v>
      </c>
      <c r="E10" s="17" t="n">
        <v>1</v>
      </c>
      <c r="F10" s="13" t="n">
        <v>0.98</v>
      </c>
      <c r="G10" s="17" t="n">
        <v>1</v>
      </c>
      <c r="H10" s="17" t="n">
        <v>1</v>
      </c>
      <c r="I10" s="17" t="n">
        <v>1</v>
      </c>
      <c r="J10" s="12" t="s">
        <v>23</v>
      </c>
      <c r="K10" s="17" t="n">
        <v>1</v>
      </c>
      <c r="L10" s="13" t="n">
        <v>0.97</v>
      </c>
      <c r="M10" s="17" t="n">
        <v>1</v>
      </c>
      <c r="N10" s="13" t="n">
        <v>0.95</v>
      </c>
      <c r="O10" s="17" t="n">
        <v>1</v>
      </c>
    </row>
    <row r="11" customFormat="false" ht="18" hidden="false" customHeight="true" outlineLevel="0" collapsed="false">
      <c r="A11" s="28" t="s">
        <v>95</v>
      </c>
      <c r="B11" s="29" t="n">
        <v>10</v>
      </c>
      <c r="C11" s="30" t="n">
        <v>0.989</v>
      </c>
      <c r="D11" s="17" t="n">
        <v>1</v>
      </c>
      <c r="E11" s="17" t="n">
        <v>1</v>
      </c>
      <c r="F11" s="17" t="n">
        <v>1</v>
      </c>
      <c r="G11" s="17" t="n">
        <v>1</v>
      </c>
      <c r="H11" s="13" t="n">
        <v>0.98</v>
      </c>
      <c r="I11" s="22" t="n">
        <v>0.93</v>
      </c>
      <c r="J11" s="17" t="n">
        <v>1</v>
      </c>
      <c r="K11" s="17" t="n">
        <v>1</v>
      </c>
      <c r="L11" s="12" t="s">
        <v>23</v>
      </c>
      <c r="M11" s="17" t="n">
        <v>1</v>
      </c>
      <c r="N11" s="12" t="s">
        <v>23</v>
      </c>
      <c r="O11" s="13" t="n">
        <v>0.98</v>
      </c>
    </row>
    <row r="12" customFormat="false" ht="18" hidden="false" customHeight="true" outlineLevel="0" collapsed="false">
      <c r="A12" s="31" t="s">
        <v>96</v>
      </c>
      <c r="B12" s="10" t="n">
        <v>10</v>
      </c>
      <c r="C12" s="11" t="n">
        <v>0.984</v>
      </c>
      <c r="D12" s="17" t="n">
        <v>1</v>
      </c>
      <c r="E12" s="17" t="n">
        <v>1</v>
      </c>
      <c r="F12" s="13" t="n">
        <v>0.95</v>
      </c>
      <c r="G12" s="17" t="n">
        <v>1</v>
      </c>
      <c r="H12" s="17" t="n">
        <v>1</v>
      </c>
      <c r="I12" s="22" t="n">
        <v>0.91</v>
      </c>
      <c r="J12" s="17" t="n">
        <v>1</v>
      </c>
      <c r="K12" s="17" t="n">
        <v>1</v>
      </c>
      <c r="L12" s="12" t="s">
        <v>23</v>
      </c>
      <c r="M12" s="17" t="n">
        <v>1</v>
      </c>
      <c r="N12" s="12" t="s">
        <v>23</v>
      </c>
      <c r="O12" s="13" t="n">
        <v>0.98</v>
      </c>
    </row>
    <row r="13" customFormat="false" ht="18" hidden="false" customHeight="true" outlineLevel="0" collapsed="false">
      <c r="A13" s="28" t="s">
        <v>97</v>
      </c>
      <c r="B13" s="29" t="n">
        <v>12</v>
      </c>
      <c r="C13" s="30" t="n">
        <v>0.979166666666667</v>
      </c>
      <c r="D13" s="17" t="n">
        <v>1</v>
      </c>
      <c r="E13" s="17" t="n">
        <v>1</v>
      </c>
      <c r="F13" s="17" t="n">
        <v>1</v>
      </c>
      <c r="G13" s="22" t="n">
        <v>0.93</v>
      </c>
      <c r="H13" s="22" t="n">
        <v>0.89</v>
      </c>
      <c r="I13" s="17" t="n">
        <v>1</v>
      </c>
      <c r="J13" s="17" t="n">
        <v>1</v>
      </c>
      <c r="K13" s="17" t="n">
        <v>1</v>
      </c>
      <c r="L13" s="17" t="n">
        <v>1</v>
      </c>
      <c r="M13" s="17" t="n">
        <v>1</v>
      </c>
      <c r="N13" s="17" t="n">
        <v>1</v>
      </c>
      <c r="O13" s="22" t="n">
        <v>0.93</v>
      </c>
    </row>
    <row r="14" customFormat="false" ht="18" hidden="false" customHeight="true" outlineLevel="0" collapsed="false">
      <c r="A14" s="31" t="s">
        <v>98</v>
      </c>
      <c r="B14" s="10" t="n">
        <v>11</v>
      </c>
      <c r="C14" s="11" t="n">
        <v>0.969090909090909</v>
      </c>
      <c r="D14" s="17" t="n">
        <v>1</v>
      </c>
      <c r="E14" s="22" t="n">
        <v>0.86</v>
      </c>
      <c r="F14" s="17" t="n">
        <v>1</v>
      </c>
      <c r="G14" s="17" t="n">
        <v>1</v>
      </c>
      <c r="H14" s="22" t="n">
        <v>0.93</v>
      </c>
      <c r="I14" s="17" t="n">
        <v>1</v>
      </c>
      <c r="J14" s="22" t="n">
        <v>0.91</v>
      </c>
      <c r="K14" s="17" t="n">
        <v>1</v>
      </c>
      <c r="L14" s="12" t="s">
        <v>23</v>
      </c>
      <c r="M14" s="17" t="n">
        <v>1</v>
      </c>
      <c r="N14" s="13" t="n">
        <v>0.98</v>
      </c>
      <c r="O14" s="13" t="n">
        <v>0.98</v>
      </c>
    </row>
  </sheetData>
  <autoFilter ref="A2:O2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2"/>
    <col collapsed="false" customWidth="true" hidden="false" outlineLevel="0" max="16" min="5" style="1" width="14"/>
  </cols>
  <sheetData>
    <row r="1" customFormat="false" ht="30" hidden="false" customHeight="true" outlineLevel="0" collapsed="false">
      <c r="A1" s="32" t="s">
        <v>99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customFormat="false" ht="36" hidden="false" customHeight="true" outlineLevel="0" collapsed="false">
      <c r="A2" s="33" t="s">
        <v>5</v>
      </c>
      <c r="B2" s="33" t="s">
        <v>7</v>
      </c>
      <c r="C2" s="33" t="s">
        <v>100</v>
      </c>
      <c r="D2" s="33" t="s">
        <v>8</v>
      </c>
      <c r="E2" s="33" t="s">
        <v>9</v>
      </c>
      <c r="F2" s="33" t="s">
        <v>10</v>
      </c>
      <c r="G2" s="33" t="s">
        <v>11</v>
      </c>
      <c r="H2" s="33" t="s">
        <v>12</v>
      </c>
      <c r="I2" s="33" t="s">
        <v>13</v>
      </c>
      <c r="J2" s="33" t="s">
        <v>14</v>
      </c>
      <c r="K2" s="33" t="s">
        <v>15</v>
      </c>
      <c r="L2" s="33" t="s">
        <v>16</v>
      </c>
      <c r="M2" s="33" t="s">
        <v>17</v>
      </c>
      <c r="N2" s="33" t="s">
        <v>18</v>
      </c>
      <c r="O2" s="33" t="s">
        <v>19</v>
      </c>
      <c r="P2" s="33" t="s">
        <v>20</v>
      </c>
    </row>
    <row r="3" customFormat="false" ht="18" hidden="false" customHeight="true" outlineLevel="0" collapsed="false">
      <c r="A3" s="34" t="s">
        <v>72</v>
      </c>
      <c r="B3" s="35" t="n">
        <v>9</v>
      </c>
      <c r="C3" s="36" t="n">
        <v>1</v>
      </c>
      <c r="D3" s="37" t="n">
        <v>0.993333333333333</v>
      </c>
      <c r="E3" s="17" t="n">
        <v>1</v>
      </c>
      <c r="F3" s="17" t="n">
        <v>1</v>
      </c>
      <c r="G3" s="17" t="n">
        <v>1</v>
      </c>
      <c r="H3" s="17" t="n">
        <v>1</v>
      </c>
      <c r="I3" s="22" t="n">
        <v>0.94</v>
      </c>
      <c r="J3" s="17" t="n">
        <v>1</v>
      </c>
      <c r="K3" s="38" t="s">
        <v>101</v>
      </c>
      <c r="L3" s="17" t="n">
        <v>1</v>
      </c>
      <c r="M3" s="38" t="s">
        <v>101</v>
      </c>
      <c r="N3" s="17" t="n">
        <v>1</v>
      </c>
      <c r="O3" s="38" t="s">
        <v>101</v>
      </c>
      <c r="P3" s="17" t="n">
        <v>1</v>
      </c>
    </row>
    <row r="4" customFormat="false" ht="18" hidden="false" customHeight="true" outlineLevel="0" collapsed="false">
      <c r="A4" s="8" t="s">
        <v>77</v>
      </c>
      <c r="B4" s="10" t="n">
        <v>9</v>
      </c>
      <c r="C4" s="36" t="n">
        <v>1</v>
      </c>
      <c r="D4" s="11" t="n">
        <v>0.993333333333333</v>
      </c>
      <c r="E4" s="17" t="n">
        <v>1</v>
      </c>
      <c r="F4" s="17" t="n">
        <v>1</v>
      </c>
      <c r="G4" s="17" t="n">
        <v>1</v>
      </c>
      <c r="H4" s="17" t="n">
        <v>1</v>
      </c>
      <c r="I4" s="13" t="n">
        <v>0.96</v>
      </c>
      <c r="J4" s="17" t="n">
        <v>1</v>
      </c>
      <c r="K4" s="38" t="s">
        <v>101</v>
      </c>
      <c r="L4" s="17" t="n">
        <v>1</v>
      </c>
      <c r="M4" s="38" t="s">
        <v>101</v>
      </c>
      <c r="N4" s="17" t="n">
        <v>1</v>
      </c>
      <c r="O4" s="38" t="s">
        <v>101</v>
      </c>
      <c r="P4" s="13" t="n">
        <v>0.98</v>
      </c>
    </row>
    <row r="5" customFormat="false" ht="18" hidden="false" customHeight="true" outlineLevel="0" collapsed="false">
      <c r="A5" s="34" t="s">
        <v>81</v>
      </c>
      <c r="B5" s="35" t="n">
        <v>9</v>
      </c>
      <c r="C5" s="36" t="n">
        <v>1</v>
      </c>
      <c r="D5" s="37" t="n">
        <v>0.997777777777778</v>
      </c>
      <c r="E5" s="17" t="n">
        <v>1</v>
      </c>
      <c r="F5" s="17" t="n">
        <v>1</v>
      </c>
      <c r="G5" s="17" t="n">
        <v>1</v>
      </c>
      <c r="H5" s="17" t="n">
        <v>1</v>
      </c>
      <c r="I5" s="38" t="s">
        <v>101</v>
      </c>
      <c r="J5" s="17" t="n">
        <v>1</v>
      </c>
      <c r="K5" s="13" t="n">
        <v>0.98</v>
      </c>
      <c r="L5" s="17" t="n">
        <v>1</v>
      </c>
      <c r="M5" s="38" t="s">
        <v>101</v>
      </c>
      <c r="N5" s="17" t="n">
        <v>1</v>
      </c>
      <c r="O5" s="38" t="s">
        <v>101</v>
      </c>
      <c r="P5" s="17" t="n">
        <v>1</v>
      </c>
    </row>
    <row r="6" customFormat="false" ht="18" hidden="false" customHeight="true" outlineLevel="0" collapsed="false">
      <c r="A6" s="8" t="s">
        <v>62</v>
      </c>
      <c r="B6" s="10" t="n">
        <v>9</v>
      </c>
      <c r="C6" s="36" t="n">
        <v>1</v>
      </c>
      <c r="D6" s="11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38" t="s">
        <v>101</v>
      </c>
      <c r="J6" s="17" t="n">
        <v>1</v>
      </c>
      <c r="K6" s="17" t="n">
        <v>1</v>
      </c>
      <c r="L6" s="17" t="n">
        <v>1</v>
      </c>
      <c r="M6" s="38" t="s">
        <v>101</v>
      </c>
      <c r="N6" s="17" t="n">
        <v>1</v>
      </c>
      <c r="O6" s="38" t="s">
        <v>101</v>
      </c>
      <c r="P6" s="17" t="n">
        <v>1</v>
      </c>
    </row>
    <row r="7" customFormat="false" ht="18" hidden="false" customHeight="true" outlineLevel="0" collapsed="false">
      <c r="A7" s="34" t="s">
        <v>70</v>
      </c>
      <c r="B7" s="35" t="n">
        <v>9</v>
      </c>
      <c r="C7" s="36" t="n">
        <v>1</v>
      </c>
      <c r="D7" s="37" t="n">
        <v>0.983333333333333</v>
      </c>
      <c r="E7" s="17" t="n">
        <v>1</v>
      </c>
      <c r="F7" s="22" t="n">
        <v>0.93</v>
      </c>
      <c r="G7" s="17" t="n">
        <v>1</v>
      </c>
      <c r="H7" s="13" t="n">
        <v>0.96</v>
      </c>
      <c r="I7" s="13" t="n">
        <v>0.98</v>
      </c>
      <c r="J7" s="17" t="n">
        <v>1</v>
      </c>
      <c r="K7" s="38" t="s">
        <v>101</v>
      </c>
      <c r="L7" s="17" t="n">
        <v>1</v>
      </c>
      <c r="M7" s="38" t="s">
        <v>101</v>
      </c>
      <c r="N7" s="17" t="n">
        <v>1</v>
      </c>
      <c r="O7" s="38" t="s">
        <v>101</v>
      </c>
      <c r="P7" s="13" t="n">
        <v>0.98</v>
      </c>
    </row>
    <row r="8" customFormat="false" ht="18" hidden="false" customHeight="true" outlineLevel="0" collapsed="false">
      <c r="A8" s="8" t="s">
        <v>75</v>
      </c>
      <c r="B8" s="10" t="n">
        <v>9</v>
      </c>
      <c r="C8" s="36" t="n">
        <v>1</v>
      </c>
      <c r="D8" s="11" t="n">
        <v>0.995555555555556</v>
      </c>
      <c r="E8" s="17" t="n">
        <v>1</v>
      </c>
      <c r="F8" s="17" t="n">
        <v>1</v>
      </c>
      <c r="G8" s="17" t="n">
        <v>1</v>
      </c>
      <c r="H8" s="17" t="n">
        <v>1</v>
      </c>
      <c r="I8" s="13" t="n">
        <v>0.98</v>
      </c>
      <c r="J8" s="13" t="n">
        <v>0.98</v>
      </c>
      <c r="K8" s="38" t="s">
        <v>101</v>
      </c>
      <c r="L8" s="17" t="n">
        <v>1</v>
      </c>
      <c r="M8" s="38" t="s">
        <v>101</v>
      </c>
      <c r="N8" s="17" t="n">
        <v>1</v>
      </c>
      <c r="O8" s="38" t="s">
        <v>101</v>
      </c>
      <c r="P8" s="17" t="n">
        <v>1</v>
      </c>
    </row>
    <row r="9" customFormat="false" ht="18" hidden="false" customHeight="true" outlineLevel="0" collapsed="false">
      <c r="A9" s="34" t="s">
        <v>83</v>
      </c>
      <c r="B9" s="35" t="n">
        <v>8</v>
      </c>
      <c r="C9" s="36" t="n">
        <v>2</v>
      </c>
      <c r="D9" s="37" t="n">
        <v>0.98375</v>
      </c>
      <c r="E9" s="17" t="n">
        <v>1</v>
      </c>
      <c r="F9" s="17" t="n">
        <v>1</v>
      </c>
      <c r="G9" s="38" t="s">
        <v>101</v>
      </c>
      <c r="H9" s="17" t="n">
        <v>1</v>
      </c>
      <c r="I9" s="22" t="n">
        <v>0.94</v>
      </c>
      <c r="J9" s="13" t="n">
        <v>0.95</v>
      </c>
      <c r="K9" s="38" t="s">
        <v>101</v>
      </c>
      <c r="L9" s="17" t="n">
        <v>1</v>
      </c>
      <c r="M9" s="38" t="s">
        <v>101</v>
      </c>
      <c r="N9" s="17" t="n">
        <v>1</v>
      </c>
      <c r="O9" s="38" t="s">
        <v>101</v>
      </c>
      <c r="P9" s="13" t="n">
        <v>0.98</v>
      </c>
    </row>
    <row r="10" customFormat="false" ht="18" hidden="false" customHeight="true" outlineLevel="0" collapsed="false">
      <c r="A10" s="8" t="s">
        <v>85</v>
      </c>
      <c r="B10" s="10" t="n">
        <v>8</v>
      </c>
      <c r="C10" s="36" t="n">
        <v>2</v>
      </c>
      <c r="D10" s="11" t="n">
        <v>0.94375</v>
      </c>
      <c r="E10" s="22" t="n">
        <v>0.85</v>
      </c>
      <c r="F10" s="22" t="n">
        <v>0.87</v>
      </c>
      <c r="G10" s="22" t="n">
        <v>0.91</v>
      </c>
      <c r="H10" s="13" t="n">
        <v>0.96</v>
      </c>
      <c r="I10" s="38" t="s">
        <v>101</v>
      </c>
      <c r="J10" s="17" t="n">
        <v>1</v>
      </c>
      <c r="K10" s="38" t="s">
        <v>101</v>
      </c>
      <c r="L10" s="17" t="n">
        <v>1</v>
      </c>
      <c r="M10" s="38" t="s">
        <v>101</v>
      </c>
      <c r="N10" s="13" t="n">
        <v>0.98</v>
      </c>
      <c r="O10" s="38" t="s">
        <v>101</v>
      </c>
      <c r="P10" s="13" t="n">
        <v>0.98</v>
      </c>
    </row>
    <row r="11" customFormat="false" ht="18" hidden="false" customHeight="true" outlineLevel="0" collapsed="false">
      <c r="A11" s="34" t="s">
        <v>50</v>
      </c>
      <c r="B11" s="35" t="n">
        <v>7</v>
      </c>
      <c r="C11" s="36" t="n">
        <v>3</v>
      </c>
      <c r="D11" s="37" t="n">
        <v>0.994285714285714</v>
      </c>
      <c r="E11" s="17" t="n">
        <v>1</v>
      </c>
      <c r="F11" s="38" t="s">
        <v>101</v>
      </c>
      <c r="G11" s="17" t="n">
        <v>1</v>
      </c>
      <c r="H11" s="17" t="n">
        <v>1</v>
      </c>
      <c r="I11" s="38" t="s">
        <v>101</v>
      </c>
      <c r="J11" s="13" t="n">
        <v>0.98</v>
      </c>
      <c r="K11" s="38" t="s">
        <v>101</v>
      </c>
      <c r="L11" s="17" t="n">
        <v>1</v>
      </c>
      <c r="M11" s="38" t="s">
        <v>101</v>
      </c>
      <c r="N11" s="17" t="n">
        <v>1</v>
      </c>
      <c r="O11" s="38" t="s">
        <v>101</v>
      </c>
      <c r="P11" s="13" t="n">
        <v>0.98</v>
      </c>
    </row>
    <row r="12" customFormat="false" ht="18" hidden="false" customHeight="true" outlineLevel="0" collapsed="false">
      <c r="A12" s="8" t="s">
        <v>64</v>
      </c>
      <c r="B12" s="10" t="n">
        <v>7</v>
      </c>
      <c r="C12" s="36" t="n">
        <v>3</v>
      </c>
      <c r="D12" s="11" t="n">
        <v>0.992857142857143</v>
      </c>
      <c r="E12" s="17" t="n">
        <v>1</v>
      </c>
      <c r="F12" s="38" t="s">
        <v>101</v>
      </c>
      <c r="G12" s="38" t="s">
        <v>101</v>
      </c>
      <c r="H12" s="17" t="n">
        <v>1</v>
      </c>
      <c r="I12" s="13" t="n">
        <v>0.95</v>
      </c>
      <c r="J12" s="17" t="n">
        <v>1</v>
      </c>
      <c r="K12" s="38" t="s">
        <v>101</v>
      </c>
      <c r="L12" s="17" t="n">
        <v>1</v>
      </c>
      <c r="M12" s="38" t="s">
        <v>101</v>
      </c>
      <c r="N12" s="17" t="n">
        <v>1</v>
      </c>
      <c r="O12" s="38" t="s">
        <v>101</v>
      </c>
      <c r="P12" s="17" t="n">
        <v>1</v>
      </c>
    </row>
    <row r="13" customFormat="false" ht="18" hidden="false" customHeight="true" outlineLevel="0" collapsed="false">
      <c r="A13" s="34" t="s">
        <v>76</v>
      </c>
      <c r="B13" s="35" t="n">
        <v>7</v>
      </c>
      <c r="C13" s="36" t="n">
        <v>3</v>
      </c>
      <c r="D13" s="37" t="n">
        <v>0.975714285714286</v>
      </c>
      <c r="E13" s="38" t="s">
        <v>101</v>
      </c>
      <c r="F13" s="17" t="n">
        <v>1</v>
      </c>
      <c r="G13" s="17" t="n">
        <v>1</v>
      </c>
      <c r="H13" s="13" t="n">
        <v>0.95</v>
      </c>
      <c r="I13" s="13" t="n">
        <v>0.95</v>
      </c>
      <c r="J13" s="13" t="n">
        <v>0.98</v>
      </c>
      <c r="K13" s="38" t="s">
        <v>101</v>
      </c>
      <c r="L13" s="17" t="n">
        <v>1</v>
      </c>
      <c r="M13" s="38" t="s">
        <v>101</v>
      </c>
      <c r="N13" s="38" t="s">
        <v>101</v>
      </c>
      <c r="O13" s="38" t="s">
        <v>101</v>
      </c>
      <c r="P13" s="13" t="n">
        <v>0.95</v>
      </c>
    </row>
    <row r="14" customFormat="false" ht="18" hidden="false" customHeight="true" outlineLevel="0" collapsed="false">
      <c r="A14" s="8" t="s">
        <v>54</v>
      </c>
      <c r="B14" s="10" t="n">
        <v>6</v>
      </c>
      <c r="C14" s="36" t="n">
        <v>4</v>
      </c>
      <c r="D14" s="11" t="n">
        <v>0.996666666666667</v>
      </c>
      <c r="E14" s="17" t="n">
        <v>1</v>
      </c>
      <c r="F14" s="38" t="s">
        <v>101</v>
      </c>
      <c r="G14" s="17" t="n">
        <v>1</v>
      </c>
      <c r="H14" s="38" t="s">
        <v>101</v>
      </c>
      <c r="I14" s="38" t="s">
        <v>101</v>
      </c>
      <c r="J14" s="17" t="n">
        <v>1</v>
      </c>
      <c r="K14" s="38" t="s">
        <v>101</v>
      </c>
      <c r="L14" s="17" t="n">
        <v>1</v>
      </c>
      <c r="M14" s="38" t="s">
        <v>101</v>
      </c>
      <c r="N14" s="17" t="n">
        <v>1</v>
      </c>
      <c r="O14" s="38" t="s">
        <v>101</v>
      </c>
      <c r="P14" s="13" t="n">
        <v>0.98</v>
      </c>
    </row>
    <row r="15" customFormat="false" ht="18" hidden="false" customHeight="true" outlineLevel="0" collapsed="false">
      <c r="A15" s="34" t="s">
        <v>30</v>
      </c>
      <c r="B15" s="35" t="n">
        <v>5</v>
      </c>
      <c r="C15" s="36" t="n">
        <v>5</v>
      </c>
      <c r="D15" s="37" t="n">
        <v>0.984</v>
      </c>
      <c r="E15" s="38" t="s">
        <v>101</v>
      </c>
      <c r="F15" s="38" t="s">
        <v>101</v>
      </c>
      <c r="G15" s="38" t="s">
        <v>101</v>
      </c>
      <c r="H15" s="13" t="n">
        <v>0.96</v>
      </c>
      <c r="I15" s="38" t="s">
        <v>101</v>
      </c>
      <c r="J15" s="13" t="n">
        <v>0.98</v>
      </c>
      <c r="K15" s="38" t="s">
        <v>101</v>
      </c>
      <c r="L15" s="17" t="n">
        <v>1</v>
      </c>
      <c r="M15" s="38" t="s">
        <v>101</v>
      </c>
      <c r="N15" s="17" t="n">
        <v>1</v>
      </c>
      <c r="O15" s="38" t="s">
        <v>101</v>
      </c>
      <c r="P15" s="13" t="n">
        <v>0.98</v>
      </c>
    </row>
    <row r="16" customFormat="false" ht="18" hidden="false" customHeight="true" outlineLevel="0" collapsed="false">
      <c r="A16" s="8" t="s">
        <v>39</v>
      </c>
      <c r="B16" s="10" t="n">
        <v>5</v>
      </c>
      <c r="C16" s="36" t="n">
        <v>5</v>
      </c>
      <c r="D16" s="11" t="n">
        <v>0.926</v>
      </c>
      <c r="E16" s="22" t="n">
        <v>0.87</v>
      </c>
      <c r="F16" s="22" t="n">
        <v>0.85</v>
      </c>
      <c r="G16" s="17" t="n">
        <v>1</v>
      </c>
      <c r="H16" s="38" t="s">
        <v>101</v>
      </c>
      <c r="I16" s="38" t="s">
        <v>101</v>
      </c>
      <c r="J16" s="22" t="n">
        <v>0.91</v>
      </c>
      <c r="K16" s="38" t="s">
        <v>101</v>
      </c>
      <c r="L16" s="17" t="n">
        <v>1</v>
      </c>
      <c r="M16" s="38" t="s">
        <v>101</v>
      </c>
      <c r="N16" s="38" t="s">
        <v>101</v>
      </c>
      <c r="O16" s="38" t="s">
        <v>101</v>
      </c>
      <c r="P16" s="38" t="s">
        <v>101</v>
      </c>
    </row>
    <row r="17" customFormat="false" ht="18" hidden="false" customHeight="true" outlineLevel="0" collapsed="false">
      <c r="A17" s="34" t="s">
        <v>45</v>
      </c>
      <c r="B17" s="35" t="n">
        <v>5</v>
      </c>
      <c r="C17" s="36" t="n">
        <v>5</v>
      </c>
      <c r="D17" s="37" t="n">
        <v>0.996</v>
      </c>
      <c r="E17" s="17" t="n">
        <v>1</v>
      </c>
      <c r="F17" s="17" t="n">
        <v>1</v>
      </c>
      <c r="G17" s="13" t="n">
        <v>0.98</v>
      </c>
      <c r="H17" s="38" t="s">
        <v>101</v>
      </c>
      <c r="I17" s="38" t="s">
        <v>101</v>
      </c>
      <c r="J17" s="17" t="n">
        <v>1</v>
      </c>
      <c r="K17" s="38" t="s">
        <v>101</v>
      </c>
      <c r="L17" s="17" t="n">
        <v>1</v>
      </c>
      <c r="M17" s="38" t="s">
        <v>101</v>
      </c>
      <c r="N17" s="38" t="s">
        <v>101</v>
      </c>
      <c r="O17" s="38" t="s">
        <v>101</v>
      </c>
      <c r="P17" s="38" t="s">
        <v>101</v>
      </c>
    </row>
    <row r="18" customFormat="false" ht="18" hidden="false" customHeight="true" outlineLevel="0" collapsed="false">
      <c r="A18" s="8" t="s">
        <v>37</v>
      </c>
      <c r="B18" s="10" t="n">
        <v>5</v>
      </c>
      <c r="C18" s="36" t="n">
        <v>5</v>
      </c>
      <c r="D18" s="11" t="n">
        <v>0.996</v>
      </c>
      <c r="E18" s="17" t="n">
        <v>1</v>
      </c>
      <c r="F18" s="38" t="s">
        <v>101</v>
      </c>
      <c r="G18" s="38" t="s">
        <v>101</v>
      </c>
      <c r="H18" s="38" t="s">
        <v>101</v>
      </c>
      <c r="I18" s="38" t="s">
        <v>101</v>
      </c>
      <c r="J18" s="17" t="n">
        <v>1</v>
      </c>
      <c r="K18" s="38" t="s">
        <v>101</v>
      </c>
      <c r="L18" s="17" t="n">
        <v>1</v>
      </c>
      <c r="M18" s="38" t="s">
        <v>101</v>
      </c>
      <c r="N18" s="17" t="n">
        <v>1</v>
      </c>
      <c r="O18" s="38" t="s">
        <v>101</v>
      </c>
      <c r="P18" s="13" t="n">
        <v>0.98</v>
      </c>
    </row>
    <row r="19" customFormat="false" ht="18" hidden="false" customHeight="true" outlineLevel="0" collapsed="false">
      <c r="A19" s="34" t="s">
        <v>41</v>
      </c>
      <c r="B19" s="35" t="n">
        <v>4</v>
      </c>
      <c r="C19" s="39" t="n">
        <v>6</v>
      </c>
      <c r="D19" s="37" t="n">
        <v>0.9725</v>
      </c>
      <c r="E19" s="22" t="n">
        <v>0.89</v>
      </c>
      <c r="F19" s="38" t="s">
        <v>101</v>
      </c>
      <c r="G19" s="38" t="s">
        <v>101</v>
      </c>
      <c r="H19" s="38" t="s">
        <v>101</v>
      </c>
      <c r="I19" s="38" t="s">
        <v>101</v>
      </c>
      <c r="J19" s="17" t="n">
        <v>1</v>
      </c>
      <c r="K19" s="38" t="s">
        <v>101</v>
      </c>
      <c r="L19" s="17" t="n">
        <v>1</v>
      </c>
      <c r="M19" s="38" t="s">
        <v>101</v>
      </c>
      <c r="N19" s="38" t="s">
        <v>101</v>
      </c>
      <c r="O19" s="38" t="s">
        <v>101</v>
      </c>
      <c r="P19" s="17" t="n">
        <v>1</v>
      </c>
    </row>
    <row r="20" customFormat="false" ht="18" hidden="false" customHeight="true" outlineLevel="0" collapsed="false">
      <c r="A20" s="8" t="s">
        <v>73</v>
      </c>
      <c r="B20" s="10" t="n">
        <v>3</v>
      </c>
      <c r="C20" s="39" t="n">
        <v>7</v>
      </c>
      <c r="D20" s="11" t="n">
        <v>0.993333333333333</v>
      </c>
      <c r="E20" s="38" t="s">
        <v>101</v>
      </c>
      <c r="F20" s="38" t="s">
        <v>101</v>
      </c>
      <c r="G20" s="38" t="s">
        <v>101</v>
      </c>
      <c r="H20" s="17" t="n">
        <v>1</v>
      </c>
      <c r="I20" s="38" t="s">
        <v>101</v>
      </c>
      <c r="J20" s="38" t="s">
        <v>101</v>
      </c>
      <c r="K20" s="38" t="s">
        <v>101</v>
      </c>
      <c r="L20" s="17" t="n">
        <v>1</v>
      </c>
      <c r="M20" s="38" t="s">
        <v>101</v>
      </c>
      <c r="N20" s="38" t="s">
        <v>101</v>
      </c>
      <c r="O20" s="38" t="s">
        <v>101</v>
      </c>
      <c r="P20" s="13" t="n">
        <v>0.98</v>
      </c>
    </row>
    <row r="21" customFormat="false" ht="18" hidden="false" customHeight="true" outlineLevel="0" collapsed="false">
      <c r="A21" s="34" t="s">
        <v>68</v>
      </c>
      <c r="B21" s="35" t="n">
        <v>3</v>
      </c>
      <c r="C21" s="39" t="n">
        <v>7</v>
      </c>
      <c r="D21" s="37" t="n">
        <v>0.993333333333333</v>
      </c>
      <c r="E21" s="38" t="s">
        <v>101</v>
      </c>
      <c r="F21" s="17" t="n">
        <v>1</v>
      </c>
      <c r="G21" s="38" t="s">
        <v>101</v>
      </c>
      <c r="H21" s="17" t="n">
        <v>1</v>
      </c>
      <c r="I21" s="38" t="s">
        <v>101</v>
      </c>
      <c r="J21" s="38" t="s">
        <v>101</v>
      </c>
      <c r="K21" s="38" t="s">
        <v>101</v>
      </c>
      <c r="L21" s="38" t="s">
        <v>101</v>
      </c>
      <c r="M21" s="38" t="s">
        <v>101</v>
      </c>
      <c r="N21" s="38" t="s">
        <v>101</v>
      </c>
      <c r="O21" s="38" t="s">
        <v>101</v>
      </c>
      <c r="P21" s="13" t="n">
        <v>0.98</v>
      </c>
    </row>
    <row r="22" customFormat="false" ht="18" hidden="false" customHeight="true" outlineLevel="0" collapsed="false">
      <c r="A22" s="8" t="s">
        <v>33</v>
      </c>
      <c r="B22" s="10" t="n">
        <v>3</v>
      </c>
      <c r="C22" s="39" t="n">
        <v>7</v>
      </c>
      <c r="D22" s="11" t="n">
        <v>0.993333333333333</v>
      </c>
      <c r="E22" s="38" t="s">
        <v>101</v>
      </c>
      <c r="F22" s="38" t="s">
        <v>101</v>
      </c>
      <c r="G22" s="13" t="n">
        <v>0.98</v>
      </c>
      <c r="H22" s="17" t="n">
        <v>1</v>
      </c>
      <c r="I22" s="38" t="s">
        <v>101</v>
      </c>
      <c r="J22" s="38" t="s">
        <v>101</v>
      </c>
      <c r="K22" s="38" t="s">
        <v>101</v>
      </c>
      <c r="L22" s="17" t="n">
        <v>1</v>
      </c>
      <c r="M22" s="38" t="s">
        <v>101</v>
      </c>
      <c r="N22" s="38" t="s">
        <v>101</v>
      </c>
      <c r="O22" s="38" t="s">
        <v>101</v>
      </c>
      <c r="P22" s="38" t="s">
        <v>101</v>
      </c>
    </row>
    <row r="23" customFormat="false" ht="18" hidden="false" customHeight="true" outlineLevel="0" collapsed="false">
      <c r="A23" s="34" t="s">
        <v>48</v>
      </c>
      <c r="B23" s="35" t="n">
        <v>2</v>
      </c>
      <c r="C23" s="39" t="n">
        <v>8</v>
      </c>
      <c r="D23" s="37" t="n">
        <v>1</v>
      </c>
      <c r="E23" s="38" t="s">
        <v>101</v>
      </c>
      <c r="F23" s="38" t="s">
        <v>101</v>
      </c>
      <c r="G23" s="38" t="s">
        <v>101</v>
      </c>
      <c r="H23" s="38" t="s">
        <v>101</v>
      </c>
      <c r="I23" s="38" t="s">
        <v>101</v>
      </c>
      <c r="J23" s="38" t="s">
        <v>101</v>
      </c>
      <c r="K23" s="38" t="s">
        <v>101</v>
      </c>
      <c r="L23" s="17" t="n">
        <v>1</v>
      </c>
      <c r="M23" s="38" t="s">
        <v>101</v>
      </c>
      <c r="N23" s="38" t="s">
        <v>101</v>
      </c>
      <c r="O23" s="38" t="s">
        <v>101</v>
      </c>
      <c r="P23" s="17" t="n">
        <v>1</v>
      </c>
    </row>
    <row r="24" customFormat="false" ht="18" hidden="false" customHeight="true" outlineLevel="0" collapsed="false">
      <c r="A24" s="8" t="s">
        <v>24</v>
      </c>
      <c r="B24" s="10" t="n">
        <v>2</v>
      </c>
      <c r="C24" s="39" t="n">
        <v>8</v>
      </c>
      <c r="D24" s="11" t="n">
        <v>1</v>
      </c>
      <c r="E24" s="17" t="n">
        <v>1</v>
      </c>
      <c r="F24" s="38" t="s">
        <v>101</v>
      </c>
      <c r="G24" s="38" t="s">
        <v>101</v>
      </c>
      <c r="H24" s="38" t="s">
        <v>101</v>
      </c>
      <c r="I24" s="38" t="s">
        <v>101</v>
      </c>
      <c r="J24" s="38" t="s">
        <v>101</v>
      </c>
      <c r="K24" s="38" t="s">
        <v>101</v>
      </c>
      <c r="L24" s="17" t="n">
        <v>1</v>
      </c>
      <c r="M24" s="38" t="s">
        <v>101</v>
      </c>
      <c r="N24" s="38" t="s">
        <v>101</v>
      </c>
      <c r="O24" s="38" t="s">
        <v>101</v>
      </c>
      <c r="P24" s="38" t="s">
        <v>101</v>
      </c>
    </row>
    <row r="25" customFormat="false" ht="18" hidden="false" customHeight="true" outlineLevel="0" collapsed="false">
      <c r="A25" s="34" t="s">
        <v>36</v>
      </c>
      <c r="B25" s="35" t="n">
        <v>2</v>
      </c>
      <c r="C25" s="39" t="n">
        <v>8</v>
      </c>
      <c r="D25" s="37" t="n">
        <v>1</v>
      </c>
      <c r="E25" s="17" t="n">
        <v>1</v>
      </c>
      <c r="F25" s="38" t="s">
        <v>101</v>
      </c>
      <c r="G25" s="38" t="s">
        <v>101</v>
      </c>
      <c r="H25" s="38" t="s">
        <v>101</v>
      </c>
      <c r="I25" s="38" t="s">
        <v>101</v>
      </c>
      <c r="J25" s="38" t="s">
        <v>101</v>
      </c>
      <c r="K25" s="38" t="s">
        <v>101</v>
      </c>
      <c r="L25" s="38" t="s">
        <v>101</v>
      </c>
      <c r="M25" s="17" t="n">
        <v>1</v>
      </c>
      <c r="N25" s="38" t="s">
        <v>101</v>
      </c>
      <c r="O25" s="38" t="s">
        <v>101</v>
      </c>
      <c r="P25" s="38" t="s">
        <v>101</v>
      </c>
    </row>
    <row r="26" customFormat="false" ht="18" hidden="false" customHeight="true" outlineLevel="0" collapsed="false">
      <c r="A26" s="8" t="s">
        <v>46</v>
      </c>
      <c r="B26" s="10" t="n">
        <v>1</v>
      </c>
      <c r="C26" s="39" t="n">
        <v>9</v>
      </c>
      <c r="D26" s="11" t="n">
        <v>1</v>
      </c>
      <c r="E26" s="38" t="s">
        <v>101</v>
      </c>
      <c r="F26" s="38" t="s">
        <v>101</v>
      </c>
      <c r="G26" s="38" t="s">
        <v>101</v>
      </c>
      <c r="H26" s="38" t="s">
        <v>101</v>
      </c>
      <c r="I26" s="38" t="s">
        <v>101</v>
      </c>
      <c r="J26" s="38" t="s">
        <v>101</v>
      </c>
      <c r="K26" s="38" t="s">
        <v>101</v>
      </c>
      <c r="L26" s="17" t="n">
        <v>1</v>
      </c>
      <c r="M26" s="38" t="s">
        <v>101</v>
      </c>
      <c r="N26" s="38" t="s">
        <v>101</v>
      </c>
      <c r="O26" s="38" t="s">
        <v>101</v>
      </c>
      <c r="P26" s="38" t="s">
        <v>101</v>
      </c>
    </row>
    <row r="27" customFormat="false" ht="18" hidden="false" customHeight="true" outlineLevel="0" collapsed="false">
      <c r="A27" s="34" t="s">
        <v>21</v>
      </c>
      <c r="B27" s="35" t="n">
        <v>1</v>
      </c>
      <c r="C27" s="39" t="n">
        <v>9</v>
      </c>
      <c r="D27" s="37" t="n">
        <v>0.98</v>
      </c>
      <c r="E27" s="38" t="s">
        <v>101</v>
      </c>
      <c r="F27" s="38" t="s">
        <v>101</v>
      </c>
      <c r="G27" s="38" t="s">
        <v>101</v>
      </c>
      <c r="H27" s="38" t="s">
        <v>101</v>
      </c>
      <c r="I27" s="38" t="s">
        <v>101</v>
      </c>
      <c r="J27" s="38" t="s">
        <v>101</v>
      </c>
      <c r="K27" s="38" t="s">
        <v>101</v>
      </c>
      <c r="L27" s="38" t="s">
        <v>101</v>
      </c>
      <c r="M27" s="38" t="s">
        <v>101</v>
      </c>
      <c r="N27" s="38" t="s">
        <v>101</v>
      </c>
      <c r="O27" s="38" t="s">
        <v>101</v>
      </c>
      <c r="P27" s="13" t="n">
        <v>0.98</v>
      </c>
    </row>
    <row r="28" customFormat="false" ht="18" hidden="false" customHeight="true" outlineLevel="0" collapsed="false">
      <c r="A28" s="8" t="s">
        <v>67</v>
      </c>
      <c r="B28" s="10" t="n">
        <v>1</v>
      </c>
      <c r="C28" s="39" t="n">
        <v>9</v>
      </c>
      <c r="D28" s="11" t="n">
        <v>1</v>
      </c>
      <c r="E28" s="38" t="s">
        <v>101</v>
      </c>
      <c r="F28" s="38" t="s">
        <v>101</v>
      </c>
      <c r="G28" s="38" t="s">
        <v>101</v>
      </c>
      <c r="H28" s="38" t="s">
        <v>101</v>
      </c>
      <c r="I28" s="38" t="s">
        <v>101</v>
      </c>
      <c r="J28" s="17" t="n">
        <v>1</v>
      </c>
      <c r="K28" s="38" t="s">
        <v>101</v>
      </c>
      <c r="L28" s="38" t="s">
        <v>101</v>
      </c>
      <c r="M28" s="38" t="s">
        <v>101</v>
      </c>
      <c r="N28" s="38" t="s">
        <v>101</v>
      </c>
      <c r="O28" s="38" t="s">
        <v>101</v>
      </c>
      <c r="P28" s="38" t="s">
        <v>101</v>
      </c>
    </row>
    <row r="29" customFormat="false" ht="18" hidden="false" customHeight="true" outlineLevel="0" collapsed="false">
      <c r="A29" s="34" t="s">
        <v>57</v>
      </c>
      <c r="B29" s="35" t="n">
        <v>1</v>
      </c>
      <c r="C29" s="39" t="n">
        <v>9</v>
      </c>
      <c r="D29" s="37" t="n">
        <v>0.96</v>
      </c>
      <c r="E29" s="38" t="s">
        <v>101</v>
      </c>
      <c r="F29" s="13" t="n">
        <v>0.96</v>
      </c>
      <c r="G29" s="38" t="s">
        <v>101</v>
      </c>
      <c r="H29" s="38" t="s">
        <v>101</v>
      </c>
      <c r="I29" s="38" t="s">
        <v>101</v>
      </c>
      <c r="J29" s="38" t="s">
        <v>101</v>
      </c>
      <c r="K29" s="38" t="s">
        <v>101</v>
      </c>
      <c r="L29" s="38" t="s">
        <v>101</v>
      </c>
      <c r="M29" s="38" t="s">
        <v>101</v>
      </c>
      <c r="N29" s="38" t="s">
        <v>101</v>
      </c>
      <c r="O29" s="38" t="s">
        <v>101</v>
      </c>
      <c r="P29" s="38" t="s">
        <v>101</v>
      </c>
    </row>
    <row r="30" customFormat="false" ht="18" hidden="false" customHeight="true" outlineLevel="0" collapsed="false">
      <c r="A30" s="8" t="s">
        <v>26</v>
      </c>
      <c r="B30" s="10" t="n">
        <v>0</v>
      </c>
      <c r="C30" s="39" t="n">
        <v>10</v>
      </c>
      <c r="D30" s="11" t="s">
        <v>23</v>
      </c>
      <c r="E30" s="38" t="s">
        <v>101</v>
      </c>
      <c r="F30" s="38" t="s">
        <v>101</v>
      </c>
      <c r="G30" s="38" t="s">
        <v>101</v>
      </c>
      <c r="H30" s="38" t="s">
        <v>101</v>
      </c>
      <c r="I30" s="38" t="s">
        <v>101</v>
      </c>
      <c r="J30" s="38" t="s">
        <v>101</v>
      </c>
      <c r="K30" s="38" t="s">
        <v>101</v>
      </c>
      <c r="L30" s="38" t="s">
        <v>101</v>
      </c>
      <c r="M30" s="38" t="s">
        <v>101</v>
      </c>
      <c r="N30" s="38" t="s">
        <v>101</v>
      </c>
      <c r="O30" s="38" t="s">
        <v>101</v>
      </c>
      <c r="P30" s="38" t="s">
        <v>101</v>
      </c>
    </row>
    <row r="31" customFormat="false" ht="18" hidden="false" customHeight="true" outlineLevel="0" collapsed="false">
      <c r="A31" s="34" t="s">
        <v>35</v>
      </c>
      <c r="B31" s="35" t="n">
        <v>0</v>
      </c>
      <c r="C31" s="39" t="n">
        <v>10</v>
      </c>
      <c r="D31" s="37" t="s">
        <v>23</v>
      </c>
      <c r="E31" s="38" t="s">
        <v>101</v>
      </c>
      <c r="F31" s="38" t="s">
        <v>101</v>
      </c>
      <c r="G31" s="38" t="s">
        <v>101</v>
      </c>
      <c r="H31" s="38" t="s">
        <v>101</v>
      </c>
      <c r="I31" s="38" t="s">
        <v>101</v>
      </c>
      <c r="J31" s="38" t="s">
        <v>101</v>
      </c>
      <c r="K31" s="38" t="s">
        <v>101</v>
      </c>
      <c r="L31" s="38" t="s">
        <v>101</v>
      </c>
      <c r="M31" s="38" t="s">
        <v>101</v>
      </c>
      <c r="N31" s="38" t="s">
        <v>101</v>
      </c>
      <c r="O31" s="38" t="s">
        <v>101</v>
      </c>
      <c r="P31" s="38" t="s">
        <v>101</v>
      </c>
    </row>
    <row r="32" customFormat="false" ht="18" hidden="false" customHeight="true" outlineLevel="0" collapsed="false">
      <c r="A32" s="8" t="s">
        <v>38</v>
      </c>
      <c r="B32" s="10" t="n">
        <v>0</v>
      </c>
      <c r="C32" s="39" t="n">
        <v>10</v>
      </c>
      <c r="D32" s="11" t="s">
        <v>23</v>
      </c>
      <c r="E32" s="38" t="s">
        <v>101</v>
      </c>
      <c r="F32" s="38" t="s">
        <v>101</v>
      </c>
      <c r="G32" s="38" t="s">
        <v>101</v>
      </c>
      <c r="H32" s="38" t="s">
        <v>101</v>
      </c>
      <c r="I32" s="38" t="s">
        <v>101</v>
      </c>
      <c r="J32" s="38" t="s">
        <v>101</v>
      </c>
      <c r="K32" s="38" t="s">
        <v>101</v>
      </c>
      <c r="L32" s="38" t="s">
        <v>101</v>
      </c>
      <c r="M32" s="38" t="s">
        <v>101</v>
      </c>
      <c r="N32" s="38" t="s">
        <v>101</v>
      </c>
      <c r="O32" s="38" t="s">
        <v>101</v>
      </c>
      <c r="P32" s="38" t="s">
        <v>101</v>
      </c>
    </row>
    <row r="33" customFormat="false" ht="18" hidden="false" customHeight="true" outlineLevel="0" collapsed="false">
      <c r="A33" s="34" t="s">
        <v>40</v>
      </c>
      <c r="B33" s="35" t="n">
        <v>0</v>
      </c>
      <c r="C33" s="39" t="n">
        <v>10</v>
      </c>
      <c r="D33" s="37" t="s">
        <v>23</v>
      </c>
      <c r="E33" s="38" t="s">
        <v>101</v>
      </c>
      <c r="F33" s="38" t="s">
        <v>101</v>
      </c>
      <c r="G33" s="38" t="s">
        <v>101</v>
      </c>
      <c r="H33" s="38" t="s">
        <v>101</v>
      </c>
      <c r="I33" s="38" t="s">
        <v>101</v>
      </c>
      <c r="J33" s="38" t="s">
        <v>101</v>
      </c>
      <c r="K33" s="38" t="s">
        <v>101</v>
      </c>
      <c r="L33" s="38" t="s">
        <v>101</v>
      </c>
      <c r="M33" s="38" t="s">
        <v>101</v>
      </c>
      <c r="N33" s="38" t="s">
        <v>101</v>
      </c>
      <c r="O33" s="38" t="s">
        <v>101</v>
      </c>
      <c r="P33" s="38" t="s">
        <v>101</v>
      </c>
    </row>
    <row r="34" customFormat="false" ht="18" hidden="false" customHeight="true" outlineLevel="0" collapsed="false">
      <c r="A34" s="8" t="s">
        <v>44</v>
      </c>
      <c r="B34" s="10" t="n">
        <v>0</v>
      </c>
      <c r="C34" s="39" t="n">
        <v>10</v>
      </c>
      <c r="D34" s="11" t="s">
        <v>23</v>
      </c>
      <c r="E34" s="38" t="s">
        <v>101</v>
      </c>
      <c r="F34" s="38" t="s">
        <v>101</v>
      </c>
      <c r="G34" s="38" t="s">
        <v>101</v>
      </c>
      <c r="H34" s="38" t="s">
        <v>101</v>
      </c>
      <c r="I34" s="38" t="s">
        <v>101</v>
      </c>
      <c r="J34" s="38" t="s">
        <v>101</v>
      </c>
      <c r="K34" s="38" t="s">
        <v>101</v>
      </c>
      <c r="L34" s="38" t="s">
        <v>101</v>
      </c>
      <c r="M34" s="38" t="s">
        <v>101</v>
      </c>
      <c r="N34" s="38" t="s">
        <v>101</v>
      </c>
      <c r="O34" s="38" t="s">
        <v>101</v>
      </c>
      <c r="P34" s="38" t="s">
        <v>101</v>
      </c>
    </row>
    <row r="35" customFormat="false" ht="18" hidden="false" customHeight="true" outlineLevel="0" collapsed="false">
      <c r="A35" s="34" t="s">
        <v>47</v>
      </c>
      <c r="B35" s="35" t="n">
        <v>0</v>
      </c>
      <c r="C35" s="39" t="n">
        <v>10</v>
      </c>
      <c r="D35" s="37" t="s">
        <v>23</v>
      </c>
      <c r="E35" s="38" t="s">
        <v>101</v>
      </c>
      <c r="F35" s="38" t="s">
        <v>101</v>
      </c>
      <c r="G35" s="38" t="s">
        <v>101</v>
      </c>
      <c r="H35" s="38" t="s">
        <v>101</v>
      </c>
      <c r="I35" s="38" t="s">
        <v>101</v>
      </c>
      <c r="J35" s="38" t="s">
        <v>101</v>
      </c>
      <c r="K35" s="38" t="s">
        <v>101</v>
      </c>
      <c r="L35" s="38" t="s">
        <v>101</v>
      </c>
      <c r="M35" s="38" t="s">
        <v>101</v>
      </c>
      <c r="N35" s="38" t="s">
        <v>101</v>
      </c>
      <c r="O35" s="38" t="s">
        <v>101</v>
      </c>
      <c r="P35" s="38" t="s">
        <v>101</v>
      </c>
    </row>
    <row r="36" customFormat="false" ht="18" hidden="false" customHeight="true" outlineLevel="0" collapsed="false">
      <c r="A36" s="8" t="s">
        <v>61</v>
      </c>
      <c r="B36" s="10" t="n">
        <v>0</v>
      </c>
      <c r="C36" s="39" t="n">
        <v>10</v>
      </c>
      <c r="D36" s="11" t="s">
        <v>23</v>
      </c>
      <c r="E36" s="38" t="s">
        <v>101</v>
      </c>
      <c r="F36" s="38" t="s">
        <v>101</v>
      </c>
      <c r="G36" s="38" t="s">
        <v>101</v>
      </c>
      <c r="H36" s="38" t="s">
        <v>101</v>
      </c>
      <c r="I36" s="38" t="s">
        <v>101</v>
      </c>
      <c r="J36" s="38" t="s">
        <v>101</v>
      </c>
      <c r="K36" s="38" t="s">
        <v>101</v>
      </c>
      <c r="L36" s="38" t="s">
        <v>101</v>
      </c>
      <c r="M36" s="38" t="s">
        <v>101</v>
      </c>
      <c r="N36" s="38" t="s">
        <v>101</v>
      </c>
      <c r="O36" s="38" t="s">
        <v>101</v>
      </c>
      <c r="P36" s="38" t="s">
        <v>101</v>
      </c>
    </row>
    <row r="37" customFormat="false" ht="18" hidden="false" customHeight="true" outlineLevel="0" collapsed="false">
      <c r="A37" s="34" t="s">
        <v>60</v>
      </c>
      <c r="B37" s="35" t="n">
        <v>0</v>
      </c>
      <c r="C37" s="39" t="n">
        <v>10</v>
      </c>
      <c r="D37" s="37" t="s">
        <v>23</v>
      </c>
      <c r="E37" s="38" t="s">
        <v>101</v>
      </c>
      <c r="F37" s="38" t="s">
        <v>101</v>
      </c>
      <c r="G37" s="38" t="s">
        <v>101</v>
      </c>
      <c r="H37" s="38" t="s">
        <v>101</v>
      </c>
      <c r="I37" s="38" t="s">
        <v>101</v>
      </c>
      <c r="J37" s="38" t="s">
        <v>101</v>
      </c>
      <c r="K37" s="38" t="s">
        <v>101</v>
      </c>
      <c r="L37" s="38" t="s">
        <v>101</v>
      </c>
      <c r="M37" s="38" t="s">
        <v>101</v>
      </c>
      <c r="N37" s="38" t="s">
        <v>101</v>
      </c>
      <c r="O37" s="38" t="s">
        <v>101</v>
      </c>
      <c r="P37" s="38" t="s">
        <v>101</v>
      </c>
    </row>
    <row r="38" customFormat="false" ht="18" hidden="false" customHeight="true" outlineLevel="0" collapsed="false">
      <c r="A38" s="8" t="s">
        <v>52</v>
      </c>
      <c r="B38" s="10" t="n">
        <v>0</v>
      </c>
      <c r="C38" s="39" t="n">
        <v>10</v>
      </c>
      <c r="D38" s="11" t="s">
        <v>23</v>
      </c>
      <c r="E38" s="38" t="s">
        <v>101</v>
      </c>
      <c r="F38" s="38" t="s">
        <v>101</v>
      </c>
      <c r="G38" s="38" t="s">
        <v>101</v>
      </c>
      <c r="H38" s="38" t="s">
        <v>101</v>
      </c>
      <c r="I38" s="38" t="s">
        <v>101</v>
      </c>
      <c r="J38" s="38" t="s">
        <v>101</v>
      </c>
      <c r="K38" s="38" t="s">
        <v>101</v>
      </c>
      <c r="L38" s="38" t="s">
        <v>101</v>
      </c>
      <c r="M38" s="38" t="s">
        <v>101</v>
      </c>
      <c r="N38" s="38" t="s">
        <v>101</v>
      </c>
      <c r="O38" s="38" t="s">
        <v>101</v>
      </c>
      <c r="P38" s="38" t="s">
        <v>101</v>
      </c>
    </row>
    <row r="39" customFormat="false" ht="18" hidden="false" customHeight="true" outlineLevel="0" collapsed="false">
      <c r="A39" s="34" t="s">
        <v>53</v>
      </c>
      <c r="B39" s="35" t="n">
        <v>0</v>
      </c>
      <c r="C39" s="39" t="n">
        <v>10</v>
      </c>
      <c r="D39" s="37" t="s">
        <v>23</v>
      </c>
      <c r="E39" s="38" t="s">
        <v>101</v>
      </c>
      <c r="F39" s="38" t="s">
        <v>101</v>
      </c>
      <c r="G39" s="38" t="s">
        <v>101</v>
      </c>
      <c r="H39" s="38" t="s">
        <v>101</v>
      </c>
      <c r="I39" s="38" t="s">
        <v>101</v>
      </c>
      <c r="J39" s="38" t="s">
        <v>101</v>
      </c>
      <c r="K39" s="38" t="s">
        <v>101</v>
      </c>
      <c r="L39" s="38" t="s">
        <v>101</v>
      </c>
      <c r="M39" s="38" t="s">
        <v>101</v>
      </c>
      <c r="N39" s="38" t="s">
        <v>101</v>
      </c>
      <c r="O39" s="38" t="s">
        <v>101</v>
      </c>
      <c r="P39" s="38" t="s">
        <v>101</v>
      </c>
    </row>
    <row r="40" customFormat="false" ht="18" hidden="false" customHeight="true" outlineLevel="0" collapsed="false">
      <c r="A40" s="8" t="s">
        <v>43</v>
      </c>
      <c r="B40" s="10" t="n">
        <v>0</v>
      </c>
      <c r="C40" s="39" t="n">
        <v>10</v>
      </c>
      <c r="D40" s="11" t="s">
        <v>23</v>
      </c>
      <c r="E40" s="38" t="s">
        <v>101</v>
      </c>
      <c r="F40" s="38" t="s">
        <v>101</v>
      </c>
      <c r="G40" s="38" t="s">
        <v>101</v>
      </c>
      <c r="H40" s="38" t="s">
        <v>101</v>
      </c>
      <c r="I40" s="38" t="s">
        <v>101</v>
      </c>
      <c r="J40" s="38" t="s">
        <v>101</v>
      </c>
      <c r="K40" s="38" t="s">
        <v>101</v>
      </c>
      <c r="L40" s="38" t="s">
        <v>101</v>
      </c>
      <c r="M40" s="38" t="s">
        <v>101</v>
      </c>
      <c r="N40" s="38" t="s">
        <v>101</v>
      </c>
      <c r="O40" s="38" t="s">
        <v>101</v>
      </c>
      <c r="P40" s="38" t="s">
        <v>101</v>
      </c>
    </row>
    <row r="41" customFormat="false" ht="18" hidden="false" customHeight="true" outlineLevel="0" collapsed="false">
      <c r="A41" s="34" t="s">
        <v>71</v>
      </c>
      <c r="B41" s="35" t="n">
        <v>0</v>
      </c>
      <c r="C41" s="39" t="n">
        <v>10</v>
      </c>
      <c r="D41" s="37" t="s">
        <v>23</v>
      </c>
      <c r="E41" s="38" t="s">
        <v>101</v>
      </c>
      <c r="F41" s="38" t="s">
        <v>101</v>
      </c>
      <c r="G41" s="38" t="s">
        <v>101</v>
      </c>
      <c r="H41" s="38" t="s">
        <v>101</v>
      </c>
      <c r="I41" s="38" t="s">
        <v>101</v>
      </c>
      <c r="J41" s="38" t="s">
        <v>101</v>
      </c>
      <c r="K41" s="38" t="s">
        <v>101</v>
      </c>
      <c r="L41" s="38" t="s">
        <v>101</v>
      </c>
      <c r="M41" s="38" t="s">
        <v>101</v>
      </c>
      <c r="N41" s="38" t="s">
        <v>101</v>
      </c>
      <c r="O41" s="38" t="s">
        <v>101</v>
      </c>
      <c r="P41" s="38" t="s">
        <v>101</v>
      </c>
    </row>
    <row r="42" customFormat="false" ht="18" hidden="false" customHeight="true" outlineLevel="0" collapsed="false">
      <c r="A42" s="8" t="s">
        <v>66</v>
      </c>
      <c r="B42" s="10" t="n">
        <v>0</v>
      </c>
      <c r="C42" s="39" t="n">
        <v>10</v>
      </c>
      <c r="D42" s="11" t="s">
        <v>23</v>
      </c>
      <c r="E42" s="38" t="s">
        <v>101</v>
      </c>
      <c r="F42" s="38" t="s">
        <v>101</v>
      </c>
      <c r="G42" s="38" t="s">
        <v>101</v>
      </c>
      <c r="H42" s="38" t="s">
        <v>101</v>
      </c>
      <c r="I42" s="38" t="s">
        <v>101</v>
      </c>
      <c r="J42" s="38" t="s">
        <v>101</v>
      </c>
      <c r="K42" s="38" t="s">
        <v>101</v>
      </c>
      <c r="L42" s="38" t="s">
        <v>101</v>
      </c>
      <c r="M42" s="38" t="s">
        <v>101</v>
      </c>
      <c r="N42" s="38" t="s">
        <v>101</v>
      </c>
      <c r="O42" s="38" t="s">
        <v>101</v>
      </c>
      <c r="P42" s="38" t="s">
        <v>101</v>
      </c>
    </row>
    <row r="43" customFormat="false" ht="18" hidden="false" customHeight="true" outlineLevel="0" collapsed="false">
      <c r="A43" s="34" t="s">
        <v>69</v>
      </c>
      <c r="B43" s="35" t="n">
        <v>0</v>
      </c>
      <c r="C43" s="39" t="n">
        <v>10</v>
      </c>
      <c r="D43" s="37" t="s">
        <v>23</v>
      </c>
      <c r="E43" s="38" t="s">
        <v>101</v>
      </c>
      <c r="F43" s="38" t="s">
        <v>101</v>
      </c>
      <c r="G43" s="38" t="s">
        <v>101</v>
      </c>
      <c r="H43" s="38" t="s">
        <v>101</v>
      </c>
      <c r="I43" s="38" t="s">
        <v>101</v>
      </c>
      <c r="J43" s="38" t="s">
        <v>101</v>
      </c>
      <c r="K43" s="38" t="s">
        <v>101</v>
      </c>
      <c r="L43" s="38" t="s">
        <v>101</v>
      </c>
      <c r="M43" s="38" t="s">
        <v>101</v>
      </c>
      <c r="N43" s="38" t="s">
        <v>101</v>
      </c>
      <c r="O43" s="38" t="s">
        <v>101</v>
      </c>
      <c r="P43" s="38" t="s">
        <v>101</v>
      </c>
    </row>
  </sheetData>
  <autoFilter ref="A2:P2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3"/>
  </cols>
  <sheetData>
    <row r="1" customFormat="false" ht="31.5" hidden="false" customHeight="true" outlineLevel="0" collapsed="false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54.75" hidden="false" customHeight="true" outlineLevel="0" collapsed="false">
      <c r="A3" s="40" t="s">
        <v>103</v>
      </c>
      <c r="B3" s="40"/>
      <c r="C3" s="40"/>
      <c r="E3" s="41" t="s">
        <v>104</v>
      </c>
      <c r="F3" s="41"/>
      <c r="G3" s="41"/>
      <c r="I3" s="42" t="s">
        <v>105</v>
      </c>
      <c r="J3" s="42"/>
      <c r="K3" s="42"/>
    </row>
    <row r="4" customFormat="false" ht="54.75" hidden="false" customHeight="true" outlineLevel="0" collapsed="false">
      <c r="A4" s="40"/>
      <c r="B4" s="40"/>
      <c r="C4" s="40"/>
      <c r="E4" s="41"/>
      <c r="F4" s="41"/>
      <c r="G4" s="41"/>
      <c r="I4" s="42"/>
      <c r="J4" s="42"/>
      <c r="K4" s="42"/>
    </row>
    <row r="5" customFormat="false" ht="54.75" hidden="false" customHeight="true" outlineLevel="0" collapsed="false">
      <c r="A5" s="40"/>
      <c r="B5" s="40"/>
      <c r="C5" s="40"/>
      <c r="E5" s="41"/>
      <c r="F5" s="41"/>
      <c r="G5" s="41"/>
      <c r="I5" s="42"/>
      <c r="J5" s="42"/>
      <c r="K5" s="42"/>
    </row>
    <row r="8" customFormat="false" ht="15" hidden="false" customHeight="true" outlineLevel="0" collapsed="false">
      <c r="A8" s="43" t="s">
        <v>106</v>
      </c>
      <c r="B8" s="43" t="s">
        <v>107</v>
      </c>
    </row>
    <row r="9" customFormat="false" ht="15" hidden="false" customHeight="true" outlineLevel="0" collapsed="false">
      <c r="A9" s="44" t="s">
        <v>9</v>
      </c>
      <c r="B9" s="45" t="n">
        <v>0.547169811320755</v>
      </c>
    </row>
    <row r="10" customFormat="false" ht="15" hidden="false" customHeight="true" outlineLevel="0" collapsed="false">
      <c r="A10" s="44" t="s">
        <v>10</v>
      </c>
      <c r="B10" s="45" t="n">
        <v>0.471698113207547</v>
      </c>
    </row>
    <row r="11" customFormat="false" ht="15" hidden="false" customHeight="true" outlineLevel="0" collapsed="false">
      <c r="A11" s="44" t="s">
        <v>11</v>
      </c>
      <c r="B11" s="45" t="n">
        <v>0.471698113207547</v>
      </c>
    </row>
    <row r="12" customFormat="false" ht="15" hidden="false" customHeight="true" outlineLevel="0" collapsed="false">
      <c r="A12" s="44" t="s">
        <v>12</v>
      </c>
      <c r="B12" s="45" t="n">
        <v>0.509433962264151</v>
      </c>
    </row>
    <row r="13" customFormat="false" ht="15" hidden="false" customHeight="true" outlineLevel="0" collapsed="false">
      <c r="A13" s="44" t="s">
        <v>13</v>
      </c>
      <c r="B13" s="45" t="n">
        <v>0.358490566037736</v>
      </c>
    </row>
    <row r="14" customFormat="false" ht="15" hidden="false" customHeight="true" outlineLevel="0" collapsed="false">
      <c r="A14" s="44" t="s">
        <v>14</v>
      </c>
      <c r="B14" s="45" t="n">
        <v>0.566037735849057</v>
      </c>
    </row>
    <row r="15" customFormat="false" ht="15" hidden="false" customHeight="true" outlineLevel="0" collapsed="false">
      <c r="A15" s="44" t="s">
        <v>15</v>
      </c>
      <c r="B15" s="45" t="n">
        <v>0.245283018867925</v>
      </c>
    </row>
    <row r="16" customFormat="false" ht="15" hidden="false" customHeight="true" outlineLevel="0" collapsed="false">
      <c r="A16" s="44" t="s">
        <v>16</v>
      </c>
      <c r="B16" s="45" t="n">
        <v>0.641509433962264</v>
      </c>
    </row>
    <row r="17" customFormat="false" ht="15" hidden="false" customHeight="true" outlineLevel="0" collapsed="false">
      <c r="A17" s="44" t="s">
        <v>17</v>
      </c>
      <c r="B17" s="45" t="n">
        <v>0.132075471698113</v>
      </c>
    </row>
    <row r="18" customFormat="false" ht="15" hidden="false" customHeight="true" outlineLevel="0" collapsed="false">
      <c r="A18" s="44" t="s">
        <v>18</v>
      </c>
      <c r="B18" s="45" t="n">
        <v>0.471698113207547</v>
      </c>
    </row>
    <row r="19" customFormat="false" ht="15" hidden="false" customHeight="true" outlineLevel="0" collapsed="false">
      <c r="A19" s="44" t="s">
        <v>19</v>
      </c>
      <c r="B19" s="45" t="n">
        <v>0.150943396226415</v>
      </c>
    </row>
    <row r="20" customFormat="false" ht="15" hidden="false" customHeight="true" outlineLevel="0" collapsed="false">
      <c r="A20" s="44" t="s">
        <v>20</v>
      </c>
      <c r="B20" s="45" t="n">
        <v>0.584905660377359</v>
      </c>
    </row>
    <row r="23" customFormat="false" ht="15" hidden="false" customHeight="true" outlineLevel="0" collapsed="false">
      <c r="A23" s="1" t="s">
        <v>108</v>
      </c>
      <c r="B23" s="1" t="s">
        <v>109</v>
      </c>
    </row>
    <row r="24" customFormat="false" ht="15" hidden="false" customHeight="true" outlineLevel="0" collapsed="false">
      <c r="A24" s="1" t="s">
        <v>6</v>
      </c>
      <c r="B24" s="1" t="n">
        <v>12</v>
      </c>
    </row>
    <row r="25" customFormat="false" ht="15" hidden="false" customHeight="true" outlineLevel="0" collapsed="false">
      <c r="A25" s="1" t="s">
        <v>110</v>
      </c>
      <c r="B25" s="1" t="n">
        <v>41</v>
      </c>
    </row>
  </sheetData>
  <mergeCells count="4">
    <mergeCell ref="A1:L1"/>
    <mergeCell ref="A3:C5"/>
    <mergeCell ref="E3:G5"/>
    <mergeCell ref="I3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4"/>
    <col collapsed="false" customWidth="true" hidden="false" outlineLevel="0" max="14" min="14" style="1" width="18"/>
  </cols>
  <sheetData>
    <row r="1" customFormat="false" ht="30" hidden="false" customHeight="true" outlineLevel="0" collapsed="false">
      <c r="A1" s="46" t="s">
        <v>111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3" customFormat="false" ht="15" hidden="false" customHeight="true" outlineLevel="0" collapsed="false">
      <c r="A3" s="47" t="s">
        <v>112</v>
      </c>
    </row>
    <row r="4" customFormat="false" ht="15" hidden="false" customHeight="true" outlineLevel="0" collapsed="false">
      <c r="A4" s="48" t="s">
        <v>113</v>
      </c>
    </row>
    <row r="5" customFormat="false" ht="15" hidden="false" customHeight="true" outlineLevel="0" collapsed="false">
      <c r="A5" s="48" t="s">
        <v>114</v>
      </c>
    </row>
    <row r="6" customFormat="false" ht="15" hidden="false" customHeight="true" outlineLevel="0" collapsed="false">
      <c r="A6" s="48" t="s">
        <v>115</v>
      </c>
    </row>
    <row r="7" customFormat="false" ht="15" hidden="false" customHeight="true" outlineLevel="0" collapsed="false">
      <c r="A7" s="48" t="s">
        <v>116</v>
      </c>
    </row>
    <row r="8" customFormat="false" ht="15" hidden="false" customHeight="true" outlineLevel="0" collapsed="false">
      <c r="A8" s="48"/>
    </row>
    <row r="9" customFormat="false" ht="15" hidden="false" customHeight="true" outlineLevel="0" collapsed="false">
      <c r="A9" s="49" t="s">
        <v>117</v>
      </c>
    </row>
    <row r="10" customFormat="false" ht="7.5" hidden="false" customHeight="true" outlineLevel="0" collapsed="false"/>
    <row r="11" customFormat="false" ht="36" hidden="false" customHeight="true" outlineLevel="0" collapsed="false">
      <c r="A11" s="7" t="s">
        <v>5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  <c r="G11" s="7" t="s">
        <v>14</v>
      </c>
      <c r="H11" s="7" t="s">
        <v>15</v>
      </c>
      <c r="I11" s="7" t="s">
        <v>16</v>
      </c>
      <c r="J11" s="7" t="s">
        <v>17</v>
      </c>
      <c r="K11" s="7" t="s">
        <v>18</v>
      </c>
      <c r="L11" s="7" t="s">
        <v>19</v>
      </c>
      <c r="M11" s="7" t="s">
        <v>20</v>
      </c>
      <c r="N11" s="7" t="s">
        <v>118</v>
      </c>
    </row>
    <row r="12" customFormat="false" ht="18" hidden="false" customHeight="true" outlineLevel="0" collapsed="false">
      <c r="A12" s="14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0" t="str">
        <f aca="false">IF(A12="","",IF(IF(ISNUMBER(B12),1,0)+IF(ISNUMBER(C12),1,0)+IF(ISNUMBER(D12),1,0)+IF(ISNUMBER(E12),1,0)+IF(ISNUMBER(F12),1,0)+IF(ISNUMBER(G12),1,0)+IF(ISNUMBER(H12),1,0)+IF(ISNUMBER(I12),1,0)+IF(ISNUMBER(J12),1,0)+IF(ISNUMBER(K12),1,0)+IF(ISNUMBER(L12),1,0)+IF(ISNUMBER(M12),1,0)&gt;=10,"✅ Allround","⏳ Nog "&amp;MAX(0,10-(IF(ISNUMBER(B12),1,0)+IF(ISNUMBER(C12),1,0)+IF(ISNUMBER(D12),1,0)+IF(ISNUMBER(E12),1,0)+IF(ISNUMBER(F12),1,0)+IF(ISNUMBER(G12),1,0)+IF(ISNUMBER(H12),1,0)+IF(ISNUMBER(I12),1,0)+IF(ISNUMBER(J12),1,0)+IF(ISNUMBER(K12),1,0)+IF(ISNUMBER(L12),1,0)+IF(ISNUMBER(M12),1,0)))&amp;" stations"))</f>
        <v/>
      </c>
    </row>
    <row r="13" customFormat="false" ht="18" hidden="false" customHeight="true" outlineLevel="0" collapsed="false">
      <c r="A13" s="8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0" t="str">
        <f aca="false">IF(A13="","",IF(IF(ISNUMBER(B13),1,0)+IF(ISNUMBER(C13),1,0)+IF(ISNUMBER(D13),1,0)+IF(ISNUMBER(E13),1,0)+IF(ISNUMBER(F13),1,0)+IF(ISNUMBER(G13),1,0)+IF(ISNUMBER(H13),1,0)+IF(ISNUMBER(I13),1,0)+IF(ISNUMBER(J13),1,0)+IF(ISNUMBER(K13),1,0)+IF(ISNUMBER(L13),1,0)+IF(ISNUMBER(M13),1,0)&gt;=10,"✅ Allround","⏳ Nog "&amp;MAX(0,10-(IF(ISNUMBER(B13),1,0)+IF(ISNUMBER(C13),1,0)+IF(ISNUMBER(D13),1,0)+IF(ISNUMBER(E13),1,0)+IF(ISNUMBER(F13),1,0)+IF(ISNUMBER(G13),1,0)+IF(ISNUMBER(H13),1,0)+IF(ISNUMBER(I13),1,0)+IF(ISNUMBER(J13),1,0)+IF(ISNUMBER(K13),1,0)+IF(ISNUMBER(L13),1,0)+IF(ISNUMBER(M13),1,0)))&amp;" stations"))</f>
        <v/>
      </c>
    </row>
    <row r="14" customFormat="false" ht="18" hidden="false" customHeight="true" outlineLevel="0" collapsed="false">
      <c r="A14" s="14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0" t="str">
        <f aca="false">IF(A14="","",IF(IF(ISNUMBER(B14),1,0)+IF(ISNUMBER(C14),1,0)+IF(ISNUMBER(D14),1,0)+IF(ISNUMBER(E14),1,0)+IF(ISNUMBER(F14),1,0)+IF(ISNUMBER(G14),1,0)+IF(ISNUMBER(H14),1,0)+IF(ISNUMBER(I14),1,0)+IF(ISNUMBER(J14),1,0)+IF(ISNUMBER(K14),1,0)+IF(ISNUMBER(L14),1,0)+IF(ISNUMBER(M14),1,0)&gt;=10,"✅ Allround","⏳ Nog "&amp;MAX(0,10-(IF(ISNUMBER(B14),1,0)+IF(ISNUMBER(C14),1,0)+IF(ISNUMBER(D14),1,0)+IF(ISNUMBER(E14),1,0)+IF(ISNUMBER(F14),1,0)+IF(ISNUMBER(G14),1,0)+IF(ISNUMBER(H14),1,0)+IF(ISNUMBER(I14),1,0)+IF(ISNUMBER(J14),1,0)+IF(ISNUMBER(K14),1,0)+IF(ISNUMBER(L14),1,0)+IF(ISNUMBER(M14),1,0)))&amp;" stations"))</f>
        <v/>
      </c>
    </row>
    <row r="15" customFormat="false" ht="18" hidden="false" customHeight="true" outlineLevel="0" collapsed="false">
      <c r="A15" s="8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0" t="str">
        <f aca="false">IF(A15="","",IF(IF(ISNUMBER(B15),1,0)+IF(ISNUMBER(C15),1,0)+IF(ISNUMBER(D15),1,0)+IF(ISNUMBER(E15),1,0)+IF(ISNUMBER(F15),1,0)+IF(ISNUMBER(G15),1,0)+IF(ISNUMBER(H15),1,0)+IF(ISNUMBER(I15),1,0)+IF(ISNUMBER(J15),1,0)+IF(ISNUMBER(K15),1,0)+IF(ISNUMBER(L15),1,0)+IF(ISNUMBER(M15),1,0)&gt;=10,"✅ Allround","⏳ Nog "&amp;MAX(0,10-(IF(ISNUMBER(B15),1,0)+IF(ISNUMBER(C15),1,0)+IF(ISNUMBER(D15),1,0)+IF(ISNUMBER(E15),1,0)+IF(ISNUMBER(F15),1,0)+IF(ISNUMBER(G15),1,0)+IF(ISNUMBER(H15),1,0)+IF(ISNUMBER(I15),1,0)+IF(ISNUMBER(J15),1,0)+IF(ISNUMBER(K15),1,0)+IF(ISNUMBER(L15),1,0)+IF(ISNUMBER(M15),1,0)))&amp;" stations"))</f>
        <v/>
      </c>
    </row>
    <row r="16" customFormat="false" ht="18" hidden="false" customHeight="true" outlineLevel="0" collapsed="false">
      <c r="A16" s="14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0" t="str">
        <f aca="false">IF(A16="","",IF(IF(ISNUMBER(B16),1,0)+IF(ISNUMBER(C16),1,0)+IF(ISNUMBER(D16),1,0)+IF(ISNUMBER(E16),1,0)+IF(ISNUMBER(F16),1,0)+IF(ISNUMBER(G16),1,0)+IF(ISNUMBER(H16),1,0)+IF(ISNUMBER(I16),1,0)+IF(ISNUMBER(J16),1,0)+IF(ISNUMBER(K16),1,0)+IF(ISNUMBER(L16),1,0)+IF(ISNUMBER(M16),1,0)&gt;=10,"✅ Allround","⏳ Nog "&amp;MAX(0,10-(IF(ISNUMBER(B16),1,0)+IF(ISNUMBER(C16),1,0)+IF(ISNUMBER(D16),1,0)+IF(ISNUMBER(E16),1,0)+IF(ISNUMBER(F16),1,0)+IF(ISNUMBER(G16),1,0)+IF(ISNUMBER(H16),1,0)+IF(ISNUMBER(I16),1,0)+IF(ISNUMBER(J16),1,0)+IF(ISNUMBER(K16),1,0)+IF(ISNUMBER(L16),1,0)+IF(ISNUMBER(M16),1,0)))&amp;" stations"))</f>
        <v/>
      </c>
    </row>
    <row r="17" customFormat="false" ht="18" hidden="false" customHeight="true" outlineLevel="0" collapsed="false">
      <c r="A17" s="8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0" t="str">
        <f aca="false">IF(A17="","",IF(IF(ISNUMBER(B17),1,0)+IF(ISNUMBER(C17),1,0)+IF(ISNUMBER(D17),1,0)+IF(ISNUMBER(E17),1,0)+IF(ISNUMBER(F17),1,0)+IF(ISNUMBER(G17),1,0)+IF(ISNUMBER(H17),1,0)+IF(ISNUMBER(I17),1,0)+IF(ISNUMBER(J17),1,0)+IF(ISNUMBER(K17),1,0)+IF(ISNUMBER(L17),1,0)+IF(ISNUMBER(M17),1,0)&gt;=10,"✅ Allround","⏳ Nog "&amp;MAX(0,10-(IF(ISNUMBER(B17),1,0)+IF(ISNUMBER(C17),1,0)+IF(ISNUMBER(D17),1,0)+IF(ISNUMBER(E17),1,0)+IF(ISNUMBER(F17),1,0)+IF(ISNUMBER(G17),1,0)+IF(ISNUMBER(H17),1,0)+IF(ISNUMBER(I17),1,0)+IF(ISNUMBER(J17),1,0)+IF(ISNUMBER(K17),1,0)+IF(ISNUMBER(L17),1,0)+IF(ISNUMBER(M17),1,0)))&amp;" stations"))</f>
        <v/>
      </c>
    </row>
    <row r="18" customFormat="false" ht="18" hidden="false" customHeight="true" outlineLevel="0" collapsed="false">
      <c r="A18" s="14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0" t="str">
        <f aca="false">IF(A18="","",IF(IF(ISNUMBER(B18),1,0)+IF(ISNUMBER(C18),1,0)+IF(ISNUMBER(D18),1,0)+IF(ISNUMBER(E18),1,0)+IF(ISNUMBER(F18),1,0)+IF(ISNUMBER(G18),1,0)+IF(ISNUMBER(H18),1,0)+IF(ISNUMBER(I18),1,0)+IF(ISNUMBER(J18),1,0)+IF(ISNUMBER(K18),1,0)+IF(ISNUMBER(L18),1,0)+IF(ISNUMBER(M18),1,0)&gt;=10,"✅ Allround","⏳ Nog "&amp;MAX(0,10-(IF(ISNUMBER(B18),1,0)+IF(ISNUMBER(C18),1,0)+IF(ISNUMBER(D18),1,0)+IF(ISNUMBER(E18),1,0)+IF(ISNUMBER(F18),1,0)+IF(ISNUMBER(G18),1,0)+IF(ISNUMBER(H18),1,0)+IF(ISNUMBER(I18),1,0)+IF(ISNUMBER(J18),1,0)+IF(ISNUMBER(K18),1,0)+IF(ISNUMBER(L18),1,0)+IF(ISNUMBER(M18),1,0)))&amp;" stations"))</f>
        <v/>
      </c>
    </row>
    <row r="19" customFormat="false" ht="18" hidden="false" customHeight="true" outlineLevel="0" collapsed="false">
      <c r="A19" s="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0" t="str">
        <f aca="false">IF(A19="","",IF(IF(ISNUMBER(B19),1,0)+IF(ISNUMBER(C19),1,0)+IF(ISNUMBER(D19),1,0)+IF(ISNUMBER(E19),1,0)+IF(ISNUMBER(F19),1,0)+IF(ISNUMBER(G19),1,0)+IF(ISNUMBER(H19),1,0)+IF(ISNUMBER(I19),1,0)+IF(ISNUMBER(J19),1,0)+IF(ISNUMBER(K19),1,0)+IF(ISNUMBER(L19),1,0)+IF(ISNUMBER(M19),1,0)&gt;=10,"✅ Allround","⏳ Nog "&amp;MAX(0,10-(IF(ISNUMBER(B19),1,0)+IF(ISNUMBER(C19),1,0)+IF(ISNUMBER(D19),1,0)+IF(ISNUMBER(E19),1,0)+IF(ISNUMBER(F19),1,0)+IF(ISNUMBER(G19),1,0)+IF(ISNUMBER(H19),1,0)+IF(ISNUMBER(I19),1,0)+IF(ISNUMBER(J19),1,0)+IF(ISNUMBER(K19),1,0)+IF(ISNUMBER(L19),1,0)+IF(ISNUMBER(M19),1,0)))&amp;" stations"))</f>
        <v/>
      </c>
    </row>
    <row r="20" customFormat="false" ht="18" hidden="false" customHeight="true" outlineLevel="0" collapsed="false">
      <c r="A20" s="1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0" t="str">
        <f aca="false">IF(A20="","",IF(IF(ISNUMBER(B20),1,0)+IF(ISNUMBER(C20),1,0)+IF(ISNUMBER(D20),1,0)+IF(ISNUMBER(E20),1,0)+IF(ISNUMBER(F20),1,0)+IF(ISNUMBER(G20),1,0)+IF(ISNUMBER(H20),1,0)+IF(ISNUMBER(I20),1,0)+IF(ISNUMBER(J20),1,0)+IF(ISNUMBER(K20),1,0)+IF(ISNUMBER(L20),1,0)+IF(ISNUMBER(M20),1,0)&gt;=10,"✅ Allround","⏳ Nog "&amp;MAX(0,10-(IF(ISNUMBER(B20),1,0)+IF(ISNUMBER(C20),1,0)+IF(ISNUMBER(D20),1,0)+IF(ISNUMBER(E20),1,0)+IF(ISNUMBER(F20),1,0)+IF(ISNUMBER(G20),1,0)+IF(ISNUMBER(H20),1,0)+IF(ISNUMBER(I20),1,0)+IF(ISNUMBER(J20),1,0)+IF(ISNUMBER(K20),1,0)+IF(ISNUMBER(L20),1,0)+IF(ISNUMBER(M20),1,0)))&amp;" stations"))</f>
        <v/>
      </c>
    </row>
    <row r="21" customFormat="false" ht="18" hidden="false" customHeight="true" outlineLevel="0" collapsed="false">
      <c r="A21" s="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0" t="str">
        <f aca="false">IF(A21="","",IF(IF(ISNUMBER(B21),1,0)+IF(ISNUMBER(C21),1,0)+IF(ISNUMBER(D21),1,0)+IF(ISNUMBER(E21),1,0)+IF(ISNUMBER(F21),1,0)+IF(ISNUMBER(G21),1,0)+IF(ISNUMBER(H21),1,0)+IF(ISNUMBER(I21),1,0)+IF(ISNUMBER(J21),1,0)+IF(ISNUMBER(K21),1,0)+IF(ISNUMBER(L21),1,0)+IF(ISNUMBER(M21),1,0)&gt;=10,"✅ Allround","⏳ Nog "&amp;MAX(0,10-(IF(ISNUMBER(B21),1,0)+IF(ISNUMBER(C21),1,0)+IF(ISNUMBER(D21),1,0)+IF(ISNUMBER(E21),1,0)+IF(ISNUMBER(F21),1,0)+IF(ISNUMBER(G21),1,0)+IF(ISNUMBER(H21),1,0)+IF(ISNUMBER(I21),1,0)+IF(ISNUMBER(J21),1,0)+IF(ISNUMBER(K21),1,0)+IF(ISNUMBER(L21),1,0)+IF(ISNUMBER(M21),1,0)))&amp;" stations"))</f>
        <v/>
      </c>
    </row>
    <row r="22" customFormat="false" ht="18" hidden="false" customHeight="true" outlineLevel="0" collapsed="false">
      <c r="A22" s="14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0" t="str">
        <f aca="false">IF(A22="","",IF(IF(ISNUMBER(B22),1,0)+IF(ISNUMBER(C22),1,0)+IF(ISNUMBER(D22),1,0)+IF(ISNUMBER(E22),1,0)+IF(ISNUMBER(F22),1,0)+IF(ISNUMBER(G22),1,0)+IF(ISNUMBER(H22),1,0)+IF(ISNUMBER(I22),1,0)+IF(ISNUMBER(J22),1,0)+IF(ISNUMBER(K22),1,0)+IF(ISNUMBER(L22),1,0)+IF(ISNUMBER(M22),1,0)&gt;=10,"✅ Allround","⏳ Nog "&amp;MAX(0,10-(IF(ISNUMBER(B22),1,0)+IF(ISNUMBER(C22),1,0)+IF(ISNUMBER(D22),1,0)+IF(ISNUMBER(E22),1,0)+IF(ISNUMBER(F22),1,0)+IF(ISNUMBER(G22),1,0)+IF(ISNUMBER(H22),1,0)+IF(ISNUMBER(I22),1,0)+IF(ISNUMBER(J22),1,0)+IF(ISNUMBER(K22),1,0)+IF(ISNUMBER(L22),1,0)+IF(ISNUMBER(M22),1,0)))&amp;" stations"))</f>
        <v/>
      </c>
    </row>
    <row r="23" customFormat="false" ht="18" hidden="false" customHeight="true" outlineLevel="0" collapsed="false">
      <c r="A23" s="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0" t="str">
        <f aca="false">IF(A23="","",IF(IF(ISNUMBER(B23),1,0)+IF(ISNUMBER(C23),1,0)+IF(ISNUMBER(D23),1,0)+IF(ISNUMBER(E23),1,0)+IF(ISNUMBER(F23),1,0)+IF(ISNUMBER(G23),1,0)+IF(ISNUMBER(H23),1,0)+IF(ISNUMBER(I23),1,0)+IF(ISNUMBER(J23),1,0)+IF(ISNUMBER(K23),1,0)+IF(ISNUMBER(L23),1,0)+IF(ISNUMBER(M23),1,0)&gt;=10,"✅ Allround","⏳ Nog "&amp;MAX(0,10-(IF(ISNUMBER(B23),1,0)+IF(ISNUMBER(C23),1,0)+IF(ISNUMBER(D23),1,0)+IF(ISNUMBER(E23),1,0)+IF(ISNUMBER(F23),1,0)+IF(ISNUMBER(G23),1,0)+IF(ISNUMBER(H23),1,0)+IF(ISNUMBER(I23),1,0)+IF(ISNUMBER(J23),1,0)+IF(ISNUMBER(K23),1,0)+IF(ISNUMBER(L23),1,0)+IF(ISNUMBER(M23),1,0)))&amp;" stations"))</f>
        <v/>
      </c>
    </row>
    <row r="24" customFormat="false" ht="18" hidden="false" customHeight="true" outlineLevel="0" collapsed="false">
      <c r="A24" s="14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0" t="str">
        <f aca="false">IF(A24="","",IF(IF(ISNUMBER(B24),1,0)+IF(ISNUMBER(C24),1,0)+IF(ISNUMBER(D24),1,0)+IF(ISNUMBER(E24),1,0)+IF(ISNUMBER(F24),1,0)+IF(ISNUMBER(G24),1,0)+IF(ISNUMBER(H24),1,0)+IF(ISNUMBER(I24),1,0)+IF(ISNUMBER(J24),1,0)+IF(ISNUMBER(K24),1,0)+IF(ISNUMBER(L24),1,0)+IF(ISNUMBER(M24),1,0)&gt;=10,"✅ Allround","⏳ Nog "&amp;MAX(0,10-(IF(ISNUMBER(B24),1,0)+IF(ISNUMBER(C24),1,0)+IF(ISNUMBER(D24),1,0)+IF(ISNUMBER(E24),1,0)+IF(ISNUMBER(F24),1,0)+IF(ISNUMBER(G24),1,0)+IF(ISNUMBER(H24),1,0)+IF(ISNUMBER(I24),1,0)+IF(ISNUMBER(J24),1,0)+IF(ISNUMBER(K24),1,0)+IF(ISNUMBER(L24),1,0)+IF(ISNUMBER(M24),1,0)))&amp;" stations"))</f>
        <v/>
      </c>
    </row>
    <row r="25" customFormat="false" ht="18" hidden="false" customHeight="true" outlineLevel="0" collapsed="false">
      <c r="A25" s="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0" t="str">
        <f aca="false">IF(A25="","",IF(IF(ISNUMBER(B25),1,0)+IF(ISNUMBER(C25),1,0)+IF(ISNUMBER(D25),1,0)+IF(ISNUMBER(E25),1,0)+IF(ISNUMBER(F25),1,0)+IF(ISNUMBER(G25),1,0)+IF(ISNUMBER(H25),1,0)+IF(ISNUMBER(I25),1,0)+IF(ISNUMBER(J25),1,0)+IF(ISNUMBER(K25),1,0)+IF(ISNUMBER(L25),1,0)+IF(ISNUMBER(M25),1,0)&gt;=10,"✅ Allround","⏳ Nog "&amp;MAX(0,10-(IF(ISNUMBER(B25),1,0)+IF(ISNUMBER(C25),1,0)+IF(ISNUMBER(D25),1,0)+IF(ISNUMBER(E25),1,0)+IF(ISNUMBER(F25),1,0)+IF(ISNUMBER(G25),1,0)+IF(ISNUMBER(H25),1,0)+IF(ISNUMBER(I25),1,0)+IF(ISNUMBER(J25),1,0)+IF(ISNUMBER(K25),1,0)+IF(ISNUMBER(L25),1,0)+IF(ISNUMBER(M25),1,0)))&amp;" stations"))</f>
        <v/>
      </c>
    </row>
    <row r="26" customFormat="false" ht="18" hidden="false" customHeight="true" outlineLevel="0" collapsed="false">
      <c r="A26" s="14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0" t="str">
        <f aca="false">IF(A26="","",IF(IF(ISNUMBER(B26),1,0)+IF(ISNUMBER(C26),1,0)+IF(ISNUMBER(D26),1,0)+IF(ISNUMBER(E26),1,0)+IF(ISNUMBER(F26),1,0)+IF(ISNUMBER(G26),1,0)+IF(ISNUMBER(H26),1,0)+IF(ISNUMBER(I26),1,0)+IF(ISNUMBER(J26),1,0)+IF(ISNUMBER(K26),1,0)+IF(ISNUMBER(L26),1,0)+IF(ISNUMBER(M26),1,0)&gt;=10,"✅ Allround","⏳ Nog "&amp;MAX(0,10-(IF(ISNUMBER(B26),1,0)+IF(ISNUMBER(C26),1,0)+IF(ISNUMBER(D26),1,0)+IF(ISNUMBER(E26),1,0)+IF(ISNUMBER(F26),1,0)+IF(ISNUMBER(G26),1,0)+IF(ISNUMBER(H26),1,0)+IF(ISNUMBER(I26),1,0)+IF(ISNUMBER(J26),1,0)+IF(ISNUMBER(K26),1,0)+IF(ISNUMBER(L26),1,0)+IF(ISNUMBER(M26),1,0)))&amp;" stations"))</f>
        <v/>
      </c>
    </row>
    <row r="27" customFormat="false" ht="18" hidden="false" customHeight="true" outlineLevel="0" collapsed="false">
      <c r="A27" s="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0" t="str">
        <f aca="false">IF(A27="","",IF(IF(ISNUMBER(B27),1,0)+IF(ISNUMBER(C27),1,0)+IF(ISNUMBER(D27),1,0)+IF(ISNUMBER(E27),1,0)+IF(ISNUMBER(F27),1,0)+IF(ISNUMBER(G27),1,0)+IF(ISNUMBER(H27),1,0)+IF(ISNUMBER(I27),1,0)+IF(ISNUMBER(J27),1,0)+IF(ISNUMBER(K27),1,0)+IF(ISNUMBER(L27),1,0)+IF(ISNUMBER(M27),1,0)&gt;=10,"✅ Allround","⏳ Nog "&amp;MAX(0,10-(IF(ISNUMBER(B27),1,0)+IF(ISNUMBER(C27),1,0)+IF(ISNUMBER(D27),1,0)+IF(ISNUMBER(E27),1,0)+IF(ISNUMBER(F27),1,0)+IF(ISNUMBER(G27),1,0)+IF(ISNUMBER(H27),1,0)+IF(ISNUMBER(I27),1,0)+IF(ISNUMBER(J27),1,0)+IF(ISNUMBER(K27),1,0)+IF(ISNUMBER(L27),1,0)+IF(ISNUMBER(M27),1,0)))&amp;" stations"))</f>
        <v/>
      </c>
    </row>
    <row r="28" customFormat="false" ht="18" hidden="false" customHeight="true" outlineLevel="0" collapsed="false">
      <c r="A28" s="14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0" t="str">
        <f aca="false">IF(A28="","",IF(IF(ISNUMBER(B28),1,0)+IF(ISNUMBER(C28),1,0)+IF(ISNUMBER(D28),1,0)+IF(ISNUMBER(E28),1,0)+IF(ISNUMBER(F28),1,0)+IF(ISNUMBER(G28),1,0)+IF(ISNUMBER(H28),1,0)+IF(ISNUMBER(I28),1,0)+IF(ISNUMBER(J28),1,0)+IF(ISNUMBER(K28),1,0)+IF(ISNUMBER(L28),1,0)+IF(ISNUMBER(M28),1,0)&gt;=10,"✅ Allround","⏳ Nog "&amp;MAX(0,10-(IF(ISNUMBER(B28),1,0)+IF(ISNUMBER(C28),1,0)+IF(ISNUMBER(D28),1,0)+IF(ISNUMBER(E28),1,0)+IF(ISNUMBER(F28),1,0)+IF(ISNUMBER(G28),1,0)+IF(ISNUMBER(H28),1,0)+IF(ISNUMBER(I28),1,0)+IF(ISNUMBER(J28),1,0)+IF(ISNUMBER(K28),1,0)+IF(ISNUMBER(L28),1,0)+IF(ISNUMBER(M28),1,0)))&amp;" stations"))</f>
        <v/>
      </c>
    </row>
    <row r="29" customFormat="false" ht="18" hidden="false" customHeight="true" outlineLevel="0" collapsed="false">
      <c r="A29" s="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0" t="str">
        <f aca="false">IF(A29="","",IF(IF(ISNUMBER(B29),1,0)+IF(ISNUMBER(C29),1,0)+IF(ISNUMBER(D29),1,0)+IF(ISNUMBER(E29),1,0)+IF(ISNUMBER(F29),1,0)+IF(ISNUMBER(G29),1,0)+IF(ISNUMBER(H29),1,0)+IF(ISNUMBER(I29),1,0)+IF(ISNUMBER(J29),1,0)+IF(ISNUMBER(K29),1,0)+IF(ISNUMBER(L29),1,0)+IF(ISNUMBER(M29),1,0)&gt;=10,"✅ Allround","⏳ Nog "&amp;MAX(0,10-(IF(ISNUMBER(B29),1,0)+IF(ISNUMBER(C29),1,0)+IF(ISNUMBER(D29),1,0)+IF(ISNUMBER(E29),1,0)+IF(ISNUMBER(F29),1,0)+IF(ISNUMBER(G29),1,0)+IF(ISNUMBER(H29),1,0)+IF(ISNUMBER(I29),1,0)+IF(ISNUMBER(J29),1,0)+IF(ISNUMBER(K29),1,0)+IF(ISNUMBER(L29),1,0)+IF(ISNUMBER(M29),1,0)))&amp;" stations"))</f>
        <v/>
      </c>
    </row>
    <row r="30" customFormat="false" ht="18" hidden="false" customHeight="true" outlineLevel="0" collapsed="false">
      <c r="A30" s="14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0" t="str">
        <f aca="false">IF(A30="","",IF(IF(ISNUMBER(B30),1,0)+IF(ISNUMBER(C30),1,0)+IF(ISNUMBER(D30),1,0)+IF(ISNUMBER(E30),1,0)+IF(ISNUMBER(F30),1,0)+IF(ISNUMBER(G30),1,0)+IF(ISNUMBER(H30),1,0)+IF(ISNUMBER(I30),1,0)+IF(ISNUMBER(J30),1,0)+IF(ISNUMBER(K30),1,0)+IF(ISNUMBER(L30),1,0)+IF(ISNUMBER(M30),1,0)&gt;=10,"✅ Allround","⏳ Nog "&amp;MAX(0,10-(IF(ISNUMBER(B30),1,0)+IF(ISNUMBER(C30),1,0)+IF(ISNUMBER(D30),1,0)+IF(ISNUMBER(E30),1,0)+IF(ISNUMBER(F30),1,0)+IF(ISNUMBER(G30),1,0)+IF(ISNUMBER(H30),1,0)+IF(ISNUMBER(I30),1,0)+IF(ISNUMBER(J30),1,0)+IF(ISNUMBER(K30),1,0)+IF(ISNUMBER(L30),1,0)+IF(ISNUMBER(M30),1,0)))&amp;" stations"))</f>
        <v/>
      </c>
    </row>
    <row r="31" customFormat="false" ht="18" hidden="false" customHeight="true" outlineLevel="0" collapsed="false">
      <c r="A31" s="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0" t="str">
        <f aca="false">IF(A31="","",IF(IF(ISNUMBER(B31),1,0)+IF(ISNUMBER(C31),1,0)+IF(ISNUMBER(D31),1,0)+IF(ISNUMBER(E31),1,0)+IF(ISNUMBER(F31),1,0)+IF(ISNUMBER(G31),1,0)+IF(ISNUMBER(H31),1,0)+IF(ISNUMBER(I31),1,0)+IF(ISNUMBER(J31),1,0)+IF(ISNUMBER(K31),1,0)+IF(ISNUMBER(L31),1,0)+IF(ISNUMBER(M31),1,0)&gt;=10,"✅ Allround","⏳ Nog "&amp;MAX(0,10-(IF(ISNUMBER(B31),1,0)+IF(ISNUMBER(C31),1,0)+IF(ISNUMBER(D31),1,0)+IF(ISNUMBER(E31),1,0)+IF(ISNUMBER(F31),1,0)+IF(ISNUMBER(G31),1,0)+IF(ISNUMBER(H31),1,0)+IF(ISNUMBER(I31),1,0)+IF(ISNUMBER(J31),1,0)+IF(ISNUMBER(K31),1,0)+IF(ISNUMBER(L31),1,0)+IF(ISNUMBER(M31),1,0)))&amp;" stations"))</f>
        <v/>
      </c>
    </row>
    <row r="32" customFormat="false" ht="18" hidden="false" customHeight="true" outlineLevel="0" collapsed="false">
      <c r="A32" s="14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0" t="str">
        <f aca="false">IF(A32="","",IF(IF(ISNUMBER(B32),1,0)+IF(ISNUMBER(C32),1,0)+IF(ISNUMBER(D32),1,0)+IF(ISNUMBER(E32),1,0)+IF(ISNUMBER(F32),1,0)+IF(ISNUMBER(G32),1,0)+IF(ISNUMBER(H32),1,0)+IF(ISNUMBER(I32),1,0)+IF(ISNUMBER(J32),1,0)+IF(ISNUMBER(K32),1,0)+IF(ISNUMBER(L32),1,0)+IF(ISNUMBER(M32),1,0)&gt;=10,"✅ Allround","⏳ Nog "&amp;MAX(0,10-(IF(ISNUMBER(B32),1,0)+IF(ISNUMBER(C32),1,0)+IF(ISNUMBER(D32),1,0)+IF(ISNUMBER(E32),1,0)+IF(ISNUMBER(F32),1,0)+IF(ISNUMBER(G32),1,0)+IF(ISNUMBER(H32),1,0)+IF(ISNUMBER(I32),1,0)+IF(ISNUMBER(J32),1,0)+IF(ISNUMBER(K32),1,0)+IF(ISNUMBER(L32),1,0)+IF(ISNUMBER(M32),1,0)))&amp;" stations"))</f>
        <v/>
      </c>
    </row>
    <row r="33" customFormat="false" ht="18" hidden="false" customHeight="true" outlineLevel="0" collapsed="false">
      <c r="A33" s="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0" t="str">
        <f aca="false">IF(A33="","",IF(IF(ISNUMBER(B33),1,0)+IF(ISNUMBER(C33),1,0)+IF(ISNUMBER(D33),1,0)+IF(ISNUMBER(E33),1,0)+IF(ISNUMBER(F33),1,0)+IF(ISNUMBER(G33),1,0)+IF(ISNUMBER(H33),1,0)+IF(ISNUMBER(I33),1,0)+IF(ISNUMBER(J33),1,0)+IF(ISNUMBER(K33),1,0)+IF(ISNUMBER(L33),1,0)+IF(ISNUMBER(M33),1,0)&gt;=10,"✅ Allround","⏳ Nog "&amp;MAX(0,10-(IF(ISNUMBER(B33),1,0)+IF(ISNUMBER(C33),1,0)+IF(ISNUMBER(D33),1,0)+IF(ISNUMBER(E33),1,0)+IF(ISNUMBER(F33),1,0)+IF(ISNUMBER(G33),1,0)+IF(ISNUMBER(H33),1,0)+IF(ISNUMBER(I33),1,0)+IF(ISNUMBER(J33),1,0)+IF(ISNUMBER(K33),1,0)+IF(ISNUMBER(L33),1,0)+IF(ISNUMBER(M33),1,0)))&amp;" stations"))</f>
        <v/>
      </c>
    </row>
    <row r="34" customFormat="false" ht="18" hidden="false" customHeight="true" outlineLevel="0" collapsed="false">
      <c r="A34" s="1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0" t="str">
        <f aca="false">IF(A34="","",IF(IF(ISNUMBER(B34),1,0)+IF(ISNUMBER(C34),1,0)+IF(ISNUMBER(D34),1,0)+IF(ISNUMBER(E34),1,0)+IF(ISNUMBER(F34),1,0)+IF(ISNUMBER(G34),1,0)+IF(ISNUMBER(H34),1,0)+IF(ISNUMBER(I34),1,0)+IF(ISNUMBER(J34),1,0)+IF(ISNUMBER(K34),1,0)+IF(ISNUMBER(L34),1,0)+IF(ISNUMBER(M34),1,0)&gt;=10,"✅ Allround","⏳ Nog "&amp;MAX(0,10-(IF(ISNUMBER(B34),1,0)+IF(ISNUMBER(C34),1,0)+IF(ISNUMBER(D34),1,0)+IF(ISNUMBER(E34),1,0)+IF(ISNUMBER(F34),1,0)+IF(ISNUMBER(G34),1,0)+IF(ISNUMBER(H34),1,0)+IF(ISNUMBER(I34),1,0)+IF(ISNUMBER(J34),1,0)+IF(ISNUMBER(K34),1,0)+IF(ISNUMBER(L34),1,0)+IF(ISNUMBER(M34),1,0)))&amp;" stations"))</f>
        <v/>
      </c>
    </row>
    <row r="35" customFormat="false" ht="18" hidden="false" customHeight="true" outlineLevel="0" collapsed="false">
      <c r="A35" s="8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0" t="str">
        <f aca="false">IF(A35="","",IF(IF(ISNUMBER(B35),1,0)+IF(ISNUMBER(C35),1,0)+IF(ISNUMBER(D35),1,0)+IF(ISNUMBER(E35),1,0)+IF(ISNUMBER(F35),1,0)+IF(ISNUMBER(G35),1,0)+IF(ISNUMBER(H35),1,0)+IF(ISNUMBER(I35),1,0)+IF(ISNUMBER(J35),1,0)+IF(ISNUMBER(K35),1,0)+IF(ISNUMBER(L35),1,0)+IF(ISNUMBER(M35),1,0)&gt;=10,"✅ Allround","⏳ Nog "&amp;MAX(0,10-(IF(ISNUMBER(B35),1,0)+IF(ISNUMBER(C35),1,0)+IF(ISNUMBER(D35),1,0)+IF(ISNUMBER(E35),1,0)+IF(ISNUMBER(F35),1,0)+IF(ISNUMBER(G35),1,0)+IF(ISNUMBER(H35),1,0)+IF(ISNUMBER(I35),1,0)+IF(ISNUMBER(J35),1,0)+IF(ISNUMBER(K35),1,0)+IF(ISNUMBER(L35),1,0)+IF(ISNUMBER(M35),1,0)))&amp;" stations"))</f>
        <v/>
      </c>
    </row>
    <row r="36" customFormat="false" ht="18" hidden="false" customHeight="true" outlineLevel="0" collapsed="false">
      <c r="A36" s="14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0" t="str">
        <f aca="false">IF(A36="","",IF(IF(ISNUMBER(B36),1,0)+IF(ISNUMBER(C36),1,0)+IF(ISNUMBER(D36),1,0)+IF(ISNUMBER(E36),1,0)+IF(ISNUMBER(F36),1,0)+IF(ISNUMBER(G36),1,0)+IF(ISNUMBER(H36),1,0)+IF(ISNUMBER(I36),1,0)+IF(ISNUMBER(J36),1,0)+IF(ISNUMBER(K36),1,0)+IF(ISNUMBER(L36),1,0)+IF(ISNUMBER(M36),1,0)&gt;=10,"✅ Allround","⏳ Nog "&amp;MAX(0,10-(IF(ISNUMBER(B36),1,0)+IF(ISNUMBER(C36),1,0)+IF(ISNUMBER(D36),1,0)+IF(ISNUMBER(E36),1,0)+IF(ISNUMBER(F36),1,0)+IF(ISNUMBER(G36),1,0)+IF(ISNUMBER(H36),1,0)+IF(ISNUMBER(I36),1,0)+IF(ISNUMBER(J36),1,0)+IF(ISNUMBER(K36),1,0)+IF(ISNUMBER(L36),1,0)+IF(ISNUMBER(M36),1,0)))&amp;" stations"))</f>
        <v/>
      </c>
    </row>
    <row r="37" customFormat="false" ht="18" hidden="false" customHeight="true" outlineLevel="0" collapsed="false">
      <c r="A37" s="8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0" t="str">
        <f aca="false">IF(A37="","",IF(IF(ISNUMBER(B37),1,0)+IF(ISNUMBER(C37),1,0)+IF(ISNUMBER(D37),1,0)+IF(ISNUMBER(E37),1,0)+IF(ISNUMBER(F37),1,0)+IF(ISNUMBER(G37),1,0)+IF(ISNUMBER(H37),1,0)+IF(ISNUMBER(I37),1,0)+IF(ISNUMBER(J37),1,0)+IF(ISNUMBER(K37),1,0)+IF(ISNUMBER(L37),1,0)+IF(ISNUMBER(M37),1,0)&gt;=10,"✅ Allround","⏳ Nog "&amp;MAX(0,10-(IF(ISNUMBER(B37),1,0)+IF(ISNUMBER(C37),1,0)+IF(ISNUMBER(D37),1,0)+IF(ISNUMBER(E37),1,0)+IF(ISNUMBER(F37),1,0)+IF(ISNUMBER(G37),1,0)+IF(ISNUMBER(H37),1,0)+IF(ISNUMBER(I37),1,0)+IF(ISNUMBER(J37),1,0)+IF(ISNUMBER(K37),1,0)+IF(ISNUMBER(L37),1,0)+IF(ISNUMBER(M37),1,0)))&amp;" stations"))</f>
        <v/>
      </c>
    </row>
    <row r="38" customFormat="false" ht="18" hidden="false" customHeight="true" outlineLevel="0" collapsed="false">
      <c r="A38" s="14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0" t="str">
        <f aca="false">IF(A38="","",IF(IF(ISNUMBER(B38),1,0)+IF(ISNUMBER(C38),1,0)+IF(ISNUMBER(D38),1,0)+IF(ISNUMBER(E38),1,0)+IF(ISNUMBER(F38),1,0)+IF(ISNUMBER(G38),1,0)+IF(ISNUMBER(H38),1,0)+IF(ISNUMBER(I38),1,0)+IF(ISNUMBER(J38),1,0)+IF(ISNUMBER(K38),1,0)+IF(ISNUMBER(L38),1,0)+IF(ISNUMBER(M38),1,0)&gt;=10,"✅ Allround","⏳ Nog "&amp;MAX(0,10-(IF(ISNUMBER(B38),1,0)+IF(ISNUMBER(C38),1,0)+IF(ISNUMBER(D38),1,0)+IF(ISNUMBER(E38),1,0)+IF(ISNUMBER(F38),1,0)+IF(ISNUMBER(G38),1,0)+IF(ISNUMBER(H38),1,0)+IF(ISNUMBER(I38),1,0)+IF(ISNUMBER(J38),1,0)+IF(ISNUMBER(K38),1,0)+IF(ISNUMBER(L38),1,0)+IF(ISNUMBER(M38),1,0)))&amp;" stations"))</f>
        <v/>
      </c>
    </row>
    <row r="39" customFormat="false" ht="18" hidden="false" customHeight="true" outlineLevel="0" collapsed="false">
      <c r="A39" s="8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0" t="str">
        <f aca="false">IF(A39="","",IF(IF(ISNUMBER(B39),1,0)+IF(ISNUMBER(C39),1,0)+IF(ISNUMBER(D39),1,0)+IF(ISNUMBER(E39),1,0)+IF(ISNUMBER(F39),1,0)+IF(ISNUMBER(G39),1,0)+IF(ISNUMBER(H39),1,0)+IF(ISNUMBER(I39),1,0)+IF(ISNUMBER(J39),1,0)+IF(ISNUMBER(K39),1,0)+IF(ISNUMBER(L39),1,0)+IF(ISNUMBER(M39),1,0)&gt;=10,"✅ Allround","⏳ Nog "&amp;MAX(0,10-(IF(ISNUMBER(B39),1,0)+IF(ISNUMBER(C39),1,0)+IF(ISNUMBER(D39),1,0)+IF(ISNUMBER(E39),1,0)+IF(ISNUMBER(F39),1,0)+IF(ISNUMBER(G39),1,0)+IF(ISNUMBER(H39),1,0)+IF(ISNUMBER(I39),1,0)+IF(ISNUMBER(J39),1,0)+IF(ISNUMBER(K39),1,0)+IF(ISNUMBER(L39),1,0)+IF(ISNUMBER(M39),1,0)))&amp;" stations"))</f>
        <v/>
      </c>
    </row>
    <row r="40" customFormat="false" ht="18" hidden="false" customHeight="true" outlineLevel="0" collapsed="false">
      <c r="A40" s="14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0" t="str">
        <f aca="false">IF(A40="","",IF(IF(ISNUMBER(B40),1,0)+IF(ISNUMBER(C40),1,0)+IF(ISNUMBER(D40),1,0)+IF(ISNUMBER(E40),1,0)+IF(ISNUMBER(F40),1,0)+IF(ISNUMBER(G40),1,0)+IF(ISNUMBER(H40),1,0)+IF(ISNUMBER(I40),1,0)+IF(ISNUMBER(J40),1,0)+IF(ISNUMBER(K40),1,0)+IF(ISNUMBER(L40),1,0)+IF(ISNUMBER(M40),1,0)&gt;=10,"✅ Allround","⏳ Nog "&amp;MAX(0,10-(IF(ISNUMBER(B40),1,0)+IF(ISNUMBER(C40),1,0)+IF(ISNUMBER(D40),1,0)+IF(ISNUMBER(E40),1,0)+IF(ISNUMBER(F40),1,0)+IF(ISNUMBER(G40),1,0)+IF(ISNUMBER(H40),1,0)+IF(ISNUMBER(I40),1,0)+IF(ISNUMBER(J40),1,0)+IF(ISNUMBER(K40),1,0)+IF(ISNUMBER(L40),1,0)+IF(ISNUMBER(M40),1,0)))&amp;" stations"))</f>
        <v/>
      </c>
    </row>
    <row r="41" customFormat="false" ht="18" hidden="false" customHeight="true" outlineLevel="0" collapsed="false">
      <c r="A41" s="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0" t="str">
        <f aca="false">IF(A41="","",IF(IF(ISNUMBER(B41),1,0)+IF(ISNUMBER(C41),1,0)+IF(ISNUMBER(D41),1,0)+IF(ISNUMBER(E41),1,0)+IF(ISNUMBER(F41),1,0)+IF(ISNUMBER(G41),1,0)+IF(ISNUMBER(H41),1,0)+IF(ISNUMBER(I41),1,0)+IF(ISNUMBER(J41),1,0)+IF(ISNUMBER(K41),1,0)+IF(ISNUMBER(L41),1,0)+IF(ISNUMBER(M41),1,0)&gt;=10,"✅ Allround","⏳ Nog "&amp;MAX(0,10-(IF(ISNUMBER(B41),1,0)+IF(ISNUMBER(C41),1,0)+IF(ISNUMBER(D41),1,0)+IF(ISNUMBER(E41),1,0)+IF(ISNUMBER(F41),1,0)+IF(ISNUMBER(G41),1,0)+IF(ISNUMBER(H41),1,0)+IF(ISNUMBER(I41),1,0)+IF(ISNUMBER(J41),1,0)+IF(ISNUMBER(K41),1,0)+IF(ISNUMBER(L41),1,0)+IF(ISNUMBER(M41),1,0)))&amp;" stations"))</f>
        <v/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2026-06-19T12:23:32Z</dcterms:created>
  <dc:creator>openpyxl</dc:creator>
  <dc:description/>
  <dc:language>en-US</dc:language>
  <cp:lastModifiedBy/>
  <dcterms:modified xsi:type="dcterms:W3CDTF">2026-06-19T12:51:13Z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